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MyPrograms\santa\github\Brewfile\map\"/>
    </mc:Choice>
  </mc:AlternateContent>
  <workbookProtection workbookAlgorithmName="SHA-512" workbookHashValue="AbUubmd+iBH4h6sEbJ8RjO0JRNs1AMxXfXkXiNFS81WG0KI3EtBZmQB+7AiCR+fEBrjrBnndf5aEuCZUEXin1Q==" workbookSaltValue="Tal7Ego+Xb1wyCoDPOVvnw==" workbookSpinCount="100000" lockStructure="1"/>
  <bookViews>
    <workbookView xWindow="480" yWindow="8865" windowWidth="18180" windowHeight="8325" activeTab="1"/>
  </bookViews>
  <sheets>
    <sheet name="Mail" sheetId="1" r:id="rId1"/>
    <sheet name="Data" sheetId="2" r:id="rId2"/>
    <sheet name="キーワード" sheetId="3" state="hidden" r:id="rId3"/>
  </sheets>
  <functionGroups builtInGroupCount="18"/>
  <calcPr calcId="152511"/>
</workbook>
</file>

<file path=xl/calcChain.xml><?xml version="1.0" encoding="utf-8"?>
<calcChain xmlns="http://schemas.openxmlformats.org/spreadsheetml/2006/main">
  <c r="AH47" i="2" l="1"/>
  <c r="AH48" i="2"/>
  <c r="X5" i="2"/>
  <c r="X6" i="2"/>
  <c r="X7" i="2"/>
  <c r="X8" i="2"/>
  <c r="X9" i="2"/>
  <c r="X10" i="2"/>
  <c r="X11" i="2"/>
  <c r="X12" i="2"/>
  <c r="X13" i="2"/>
  <c r="X14" i="2"/>
  <c r="X15" i="2"/>
  <c r="X16" i="2"/>
  <c r="X17" i="2"/>
  <c r="X18" i="2"/>
  <c r="X19" i="2"/>
  <c r="X20" i="2"/>
  <c r="X21" i="2"/>
  <c r="X22" i="2"/>
  <c r="X23" i="2"/>
  <c r="X24" i="2"/>
  <c r="X25" i="2"/>
  <c r="X26" i="2"/>
  <c r="X27" i="2"/>
  <c r="X28" i="2"/>
  <c r="B2" i="1"/>
  <c r="B4" i="2"/>
  <c r="A4" i="2" s="1"/>
  <c r="F4" i="2"/>
  <c r="G4" i="2"/>
  <c r="H4" i="2"/>
  <c r="I4" i="2"/>
  <c r="J4" i="2"/>
  <c r="K4" i="2"/>
  <c r="L4" i="2"/>
  <c r="M4" i="2"/>
  <c r="N4" i="2"/>
  <c r="O4" i="2"/>
  <c r="P4" i="2"/>
  <c r="Q4" i="2"/>
  <c r="R4" i="2"/>
  <c r="S4" i="2"/>
  <c r="T4" i="2"/>
  <c r="U4" i="2"/>
  <c r="V4" i="2"/>
  <c r="W4" i="2"/>
  <c r="X4" i="2"/>
  <c r="Y4" i="2"/>
  <c r="Z4" i="2"/>
  <c r="AA4" i="2"/>
  <c r="AB4" i="2"/>
  <c r="AC4" i="2"/>
  <c r="AD4" i="2"/>
  <c r="AE4" i="2"/>
  <c r="AF4" i="2"/>
  <c r="AG4" i="2"/>
  <c r="AH4" i="2"/>
  <c r="AI4" i="2"/>
  <c r="B5" i="2"/>
  <c r="A5" i="2" s="1"/>
  <c r="F5" i="2"/>
  <c r="G5" i="2"/>
  <c r="H5" i="2"/>
  <c r="I5" i="2"/>
  <c r="J5" i="2"/>
  <c r="K5" i="2"/>
  <c r="L5" i="2"/>
  <c r="M5" i="2"/>
  <c r="N5" i="2"/>
  <c r="O5" i="2"/>
  <c r="P5" i="2"/>
  <c r="Q5" i="2"/>
  <c r="R5" i="2"/>
  <c r="S5" i="2"/>
  <c r="T5" i="2"/>
  <c r="U5" i="2"/>
  <c r="V5" i="2"/>
  <c r="W5" i="2"/>
  <c r="Y5" i="2"/>
  <c r="Z5" i="2"/>
  <c r="AA5" i="2"/>
  <c r="AB5" i="2"/>
  <c r="AC5" i="2"/>
  <c r="AD5" i="2"/>
  <c r="AE5" i="2"/>
  <c r="AF5" i="2"/>
  <c r="AG5" i="2"/>
  <c r="AH5" i="2"/>
  <c r="AI5" i="2"/>
  <c r="B6" i="2"/>
  <c r="A6" i="2" s="1"/>
  <c r="F6" i="2"/>
  <c r="G6" i="2"/>
  <c r="H6" i="2"/>
  <c r="I6" i="2"/>
  <c r="J6" i="2"/>
  <c r="K6" i="2"/>
  <c r="L6" i="2"/>
  <c r="M6" i="2"/>
  <c r="N6" i="2"/>
  <c r="O6" i="2"/>
  <c r="P6" i="2"/>
  <c r="Q6" i="2"/>
  <c r="R6" i="2"/>
  <c r="S6" i="2"/>
  <c r="T6" i="2"/>
  <c r="U6" i="2"/>
  <c r="V6" i="2"/>
  <c r="W6" i="2"/>
  <c r="Y6" i="2"/>
  <c r="Z6" i="2"/>
  <c r="AA6" i="2"/>
  <c r="AB6" i="2"/>
  <c r="AC6" i="2"/>
  <c r="AD6" i="2"/>
  <c r="AE6" i="2"/>
  <c r="AF6" i="2"/>
  <c r="AG6" i="2"/>
  <c r="AH6" i="2"/>
  <c r="AI6" i="2"/>
  <c r="B7" i="2"/>
  <c r="A7" i="2" s="1"/>
  <c r="F7" i="2"/>
  <c r="G7" i="2"/>
  <c r="H7" i="2"/>
  <c r="I7" i="2"/>
  <c r="J7" i="2"/>
  <c r="K7" i="2"/>
  <c r="L7" i="2"/>
  <c r="M7" i="2"/>
  <c r="N7" i="2"/>
  <c r="O7" i="2"/>
  <c r="P7" i="2"/>
  <c r="Q7" i="2"/>
  <c r="R7" i="2"/>
  <c r="S7" i="2"/>
  <c r="T7" i="2"/>
  <c r="U7" i="2"/>
  <c r="V7" i="2"/>
  <c r="W7" i="2"/>
  <c r="Y7" i="2"/>
  <c r="Z7" i="2"/>
  <c r="AA7" i="2"/>
  <c r="AB7" i="2"/>
  <c r="AC7" i="2"/>
  <c r="AD7" i="2"/>
  <c r="AE7" i="2"/>
  <c r="AF7" i="2"/>
  <c r="AG7" i="2"/>
  <c r="AH7" i="2"/>
  <c r="AI7" i="2"/>
  <c r="B8" i="2"/>
  <c r="A8" i="2" s="1"/>
  <c r="F8" i="2"/>
  <c r="G8" i="2"/>
  <c r="H8" i="2"/>
  <c r="I8" i="2"/>
  <c r="J8" i="2"/>
  <c r="K8" i="2"/>
  <c r="L8" i="2"/>
  <c r="M8" i="2"/>
  <c r="N8" i="2"/>
  <c r="O8" i="2"/>
  <c r="P8" i="2"/>
  <c r="Q8" i="2"/>
  <c r="R8" i="2"/>
  <c r="S8" i="2"/>
  <c r="T8" i="2"/>
  <c r="U8" i="2"/>
  <c r="V8" i="2"/>
  <c r="W8" i="2"/>
  <c r="Y8" i="2"/>
  <c r="Z8" i="2"/>
  <c r="AA8" i="2"/>
  <c r="AB8" i="2"/>
  <c r="AC8" i="2"/>
  <c r="AD8" i="2"/>
  <c r="AE8" i="2"/>
  <c r="AF8" i="2"/>
  <c r="AG8" i="2"/>
  <c r="AH8" i="2"/>
  <c r="AI8" i="2"/>
  <c r="B9" i="2"/>
  <c r="A9" i="2" s="1"/>
  <c r="F9" i="2"/>
  <c r="G9" i="2"/>
  <c r="H9" i="2"/>
  <c r="I9" i="2"/>
  <c r="J9" i="2"/>
  <c r="K9" i="2"/>
  <c r="L9" i="2"/>
  <c r="M9" i="2"/>
  <c r="N9" i="2"/>
  <c r="O9" i="2"/>
  <c r="P9" i="2"/>
  <c r="Q9" i="2"/>
  <c r="R9" i="2"/>
  <c r="S9" i="2"/>
  <c r="T9" i="2"/>
  <c r="U9" i="2"/>
  <c r="V9" i="2"/>
  <c r="W9" i="2"/>
  <c r="Y9" i="2"/>
  <c r="Z9" i="2"/>
  <c r="AA9" i="2"/>
  <c r="AB9" i="2"/>
  <c r="AC9" i="2"/>
  <c r="AD9" i="2"/>
  <c r="AE9" i="2"/>
  <c r="AF9" i="2"/>
  <c r="AG9" i="2"/>
  <c r="AH9" i="2"/>
  <c r="AI9" i="2"/>
  <c r="B10" i="2"/>
  <c r="A10" i="2" s="1"/>
  <c r="F10" i="2"/>
  <c r="G10" i="2"/>
  <c r="H10" i="2"/>
  <c r="I10" i="2"/>
  <c r="J10" i="2"/>
  <c r="K10" i="2"/>
  <c r="L10" i="2"/>
  <c r="M10" i="2"/>
  <c r="N10" i="2"/>
  <c r="O10" i="2"/>
  <c r="P10" i="2"/>
  <c r="Q10" i="2"/>
  <c r="R10" i="2"/>
  <c r="S10" i="2"/>
  <c r="T10" i="2"/>
  <c r="U10" i="2"/>
  <c r="V10" i="2"/>
  <c r="W10" i="2"/>
  <c r="Y10" i="2"/>
  <c r="Z10" i="2"/>
  <c r="AA10" i="2"/>
  <c r="AB10" i="2"/>
  <c r="AC10" i="2"/>
  <c r="AD10" i="2"/>
  <c r="AE10" i="2"/>
  <c r="AF10" i="2"/>
  <c r="AG10" i="2"/>
  <c r="AH10" i="2"/>
  <c r="AI10" i="2"/>
  <c r="B11" i="2"/>
  <c r="A11" i="2" s="1"/>
  <c r="F11" i="2"/>
  <c r="G11" i="2"/>
  <c r="H11" i="2"/>
  <c r="I11" i="2"/>
  <c r="J11" i="2"/>
  <c r="K11" i="2"/>
  <c r="L11" i="2"/>
  <c r="M11" i="2"/>
  <c r="N11" i="2"/>
  <c r="O11" i="2"/>
  <c r="P11" i="2"/>
  <c r="Q11" i="2"/>
  <c r="R11" i="2"/>
  <c r="S11" i="2"/>
  <c r="T11" i="2"/>
  <c r="U11" i="2"/>
  <c r="V11" i="2"/>
  <c r="W11" i="2"/>
  <c r="Y11" i="2"/>
  <c r="Z11" i="2"/>
  <c r="AA11" i="2"/>
  <c r="AB11" i="2"/>
  <c r="AC11" i="2"/>
  <c r="AD11" i="2"/>
  <c r="AE11" i="2"/>
  <c r="AF11" i="2"/>
  <c r="AG11" i="2"/>
  <c r="AH11" i="2"/>
  <c r="AI11" i="2"/>
  <c r="B12" i="2"/>
  <c r="A12" i="2" s="1"/>
  <c r="F12" i="2"/>
  <c r="G12" i="2"/>
  <c r="H12" i="2"/>
  <c r="I12" i="2"/>
  <c r="J12" i="2"/>
  <c r="K12" i="2"/>
  <c r="L12" i="2"/>
  <c r="M12" i="2"/>
  <c r="N12" i="2"/>
  <c r="O12" i="2"/>
  <c r="P12" i="2"/>
  <c r="Q12" i="2"/>
  <c r="R12" i="2"/>
  <c r="S12" i="2"/>
  <c r="T12" i="2"/>
  <c r="U12" i="2"/>
  <c r="V12" i="2"/>
  <c r="W12" i="2"/>
  <c r="Y12" i="2"/>
  <c r="Z12" i="2"/>
  <c r="AA12" i="2"/>
  <c r="AB12" i="2"/>
  <c r="AC12" i="2"/>
  <c r="AD12" i="2"/>
  <c r="AE12" i="2"/>
  <c r="AF12" i="2"/>
  <c r="AG12" i="2"/>
  <c r="AH12" i="2"/>
  <c r="AI12" i="2"/>
  <c r="B13" i="2"/>
  <c r="A13" i="2" s="1"/>
  <c r="F13" i="2"/>
  <c r="G13" i="2"/>
  <c r="H13" i="2"/>
  <c r="I13" i="2"/>
  <c r="J13" i="2"/>
  <c r="K13" i="2"/>
  <c r="L13" i="2"/>
  <c r="M13" i="2"/>
  <c r="N13" i="2"/>
  <c r="O13" i="2"/>
  <c r="P13" i="2"/>
  <c r="Q13" i="2"/>
  <c r="R13" i="2"/>
  <c r="S13" i="2"/>
  <c r="T13" i="2"/>
  <c r="U13" i="2"/>
  <c r="V13" i="2"/>
  <c r="W13" i="2"/>
  <c r="Y13" i="2"/>
  <c r="Z13" i="2"/>
  <c r="AA13" i="2"/>
  <c r="AB13" i="2"/>
  <c r="AC13" i="2"/>
  <c r="AD13" i="2"/>
  <c r="AE13" i="2"/>
  <c r="AF13" i="2"/>
  <c r="AG13" i="2"/>
  <c r="AH13" i="2"/>
  <c r="AI13" i="2"/>
  <c r="B14" i="2"/>
  <c r="A14" i="2" s="1"/>
  <c r="F14" i="2"/>
  <c r="G14" i="2"/>
  <c r="H14" i="2"/>
  <c r="I14" i="2"/>
  <c r="J14" i="2"/>
  <c r="K14" i="2"/>
  <c r="L14" i="2"/>
  <c r="M14" i="2"/>
  <c r="N14" i="2"/>
  <c r="O14" i="2"/>
  <c r="P14" i="2"/>
  <c r="Q14" i="2"/>
  <c r="R14" i="2"/>
  <c r="S14" i="2"/>
  <c r="T14" i="2"/>
  <c r="U14" i="2"/>
  <c r="V14" i="2"/>
  <c r="W14" i="2"/>
  <c r="Y14" i="2"/>
  <c r="Z14" i="2"/>
  <c r="AA14" i="2"/>
  <c r="AB14" i="2"/>
  <c r="AC14" i="2"/>
  <c r="AD14" i="2"/>
  <c r="AE14" i="2"/>
  <c r="AF14" i="2"/>
  <c r="AG14" i="2"/>
  <c r="AH14" i="2"/>
  <c r="AI14" i="2"/>
  <c r="B15" i="2"/>
  <c r="A15" i="2" s="1"/>
  <c r="F15" i="2"/>
  <c r="G15" i="2"/>
  <c r="H15" i="2"/>
  <c r="I15" i="2"/>
  <c r="J15" i="2"/>
  <c r="K15" i="2"/>
  <c r="L15" i="2"/>
  <c r="M15" i="2"/>
  <c r="N15" i="2"/>
  <c r="O15" i="2"/>
  <c r="P15" i="2"/>
  <c r="Q15" i="2"/>
  <c r="R15" i="2"/>
  <c r="S15" i="2"/>
  <c r="T15" i="2"/>
  <c r="U15" i="2"/>
  <c r="V15" i="2"/>
  <c r="W15" i="2"/>
  <c r="Y15" i="2"/>
  <c r="Z15" i="2"/>
  <c r="AA15" i="2"/>
  <c r="AB15" i="2"/>
  <c r="AC15" i="2"/>
  <c r="AD15" i="2"/>
  <c r="AE15" i="2"/>
  <c r="AF15" i="2"/>
  <c r="AG15" i="2"/>
  <c r="AH15" i="2"/>
  <c r="AI15" i="2"/>
  <c r="B16" i="2"/>
  <c r="A16" i="2" s="1"/>
  <c r="F16" i="2"/>
  <c r="G16" i="2"/>
  <c r="H16" i="2"/>
  <c r="I16" i="2"/>
  <c r="J16" i="2"/>
  <c r="K16" i="2"/>
  <c r="L16" i="2"/>
  <c r="M16" i="2"/>
  <c r="N16" i="2"/>
  <c r="O16" i="2"/>
  <c r="P16" i="2"/>
  <c r="Q16" i="2"/>
  <c r="R16" i="2"/>
  <c r="S16" i="2"/>
  <c r="T16" i="2"/>
  <c r="U16" i="2"/>
  <c r="V16" i="2"/>
  <c r="W16" i="2"/>
  <c r="Y16" i="2"/>
  <c r="Z16" i="2"/>
  <c r="AA16" i="2"/>
  <c r="AB16" i="2"/>
  <c r="AC16" i="2"/>
  <c r="AD16" i="2"/>
  <c r="AE16" i="2"/>
  <c r="AF16" i="2"/>
  <c r="AG16" i="2"/>
  <c r="AH16" i="2"/>
  <c r="AI16" i="2"/>
  <c r="B17" i="2"/>
  <c r="A17" i="2" s="1"/>
  <c r="F17" i="2"/>
  <c r="G17" i="2"/>
  <c r="H17" i="2"/>
  <c r="I17" i="2"/>
  <c r="J17" i="2"/>
  <c r="K17" i="2"/>
  <c r="L17" i="2"/>
  <c r="M17" i="2"/>
  <c r="N17" i="2"/>
  <c r="O17" i="2"/>
  <c r="P17" i="2"/>
  <c r="Q17" i="2"/>
  <c r="R17" i="2"/>
  <c r="S17" i="2"/>
  <c r="T17" i="2"/>
  <c r="U17" i="2"/>
  <c r="V17" i="2"/>
  <c r="W17" i="2"/>
  <c r="Y17" i="2"/>
  <c r="Z17" i="2"/>
  <c r="AA17" i="2"/>
  <c r="AB17" i="2"/>
  <c r="AC17" i="2"/>
  <c r="AD17" i="2"/>
  <c r="AE17" i="2"/>
  <c r="AF17" i="2"/>
  <c r="AG17" i="2"/>
  <c r="AH17" i="2"/>
  <c r="AI17" i="2"/>
  <c r="B18" i="2"/>
  <c r="A18" i="2" s="1"/>
  <c r="F18" i="2"/>
  <c r="G18" i="2"/>
  <c r="H18" i="2"/>
  <c r="I18" i="2"/>
  <c r="J18" i="2"/>
  <c r="K18" i="2"/>
  <c r="L18" i="2"/>
  <c r="M18" i="2"/>
  <c r="N18" i="2"/>
  <c r="O18" i="2"/>
  <c r="P18" i="2"/>
  <c r="Q18" i="2"/>
  <c r="R18" i="2"/>
  <c r="S18" i="2"/>
  <c r="T18" i="2"/>
  <c r="U18" i="2"/>
  <c r="V18" i="2"/>
  <c r="W18" i="2"/>
  <c r="Y18" i="2"/>
  <c r="Z18" i="2"/>
  <c r="AA18" i="2"/>
  <c r="AB18" i="2"/>
  <c r="AC18" i="2"/>
  <c r="AD18" i="2"/>
  <c r="AE18" i="2"/>
  <c r="AF18" i="2"/>
  <c r="AG18" i="2"/>
  <c r="AH18" i="2"/>
  <c r="AI18" i="2"/>
  <c r="B19" i="2"/>
  <c r="A19" i="2" s="1"/>
  <c r="F19" i="2"/>
  <c r="G19" i="2"/>
  <c r="H19" i="2"/>
  <c r="I19" i="2"/>
  <c r="J19" i="2"/>
  <c r="K19" i="2"/>
  <c r="L19" i="2"/>
  <c r="M19" i="2"/>
  <c r="N19" i="2"/>
  <c r="O19" i="2"/>
  <c r="P19" i="2"/>
  <c r="Q19" i="2"/>
  <c r="R19" i="2"/>
  <c r="S19" i="2"/>
  <c r="T19" i="2"/>
  <c r="U19" i="2"/>
  <c r="V19" i="2"/>
  <c r="W19" i="2"/>
  <c r="Y19" i="2"/>
  <c r="Z19" i="2"/>
  <c r="AA19" i="2"/>
  <c r="AB19" i="2"/>
  <c r="AC19" i="2"/>
  <c r="AD19" i="2"/>
  <c r="AE19" i="2"/>
  <c r="AF19" i="2"/>
  <c r="AG19" i="2"/>
  <c r="AH19" i="2"/>
  <c r="AI19" i="2"/>
  <c r="B20" i="2"/>
  <c r="A20" i="2" s="1"/>
  <c r="F20" i="2"/>
  <c r="G20" i="2"/>
  <c r="H20" i="2"/>
  <c r="I20" i="2"/>
  <c r="J20" i="2"/>
  <c r="K20" i="2"/>
  <c r="L20" i="2"/>
  <c r="M20" i="2"/>
  <c r="N20" i="2"/>
  <c r="O20" i="2"/>
  <c r="P20" i="2"/>
  <c r="Q20" i="2"/>
  <c r="R20" i="2"/>
  <c r="S20" i="2"/>
  <c r="T20" i="2"/>
  <c r="U20" i="2"/>
  <c r="V20" i="2"/>
  <c r="W20" i="2"/>
  <c r="Y20" i="2"/>
  <c r="Z20" i="2"/>
  <c r="AA20" i="2"/>
  <c r="AB20" i="2"/>
  <c r="AC20" i="2"/>
  <c r="AD20" i="2"/>
  <c r="AE20" i="2"/>
  <c r="AF20" i="2"/>
  <c r="AG20" i="2"/>
  <c r="AH20" i="2"/>
  <c r="AI20" i="2"/>
  <c r="B21" i="2"/>
  <c r="A21" i="2" s="1"/>
  <c r="F21" i="2"/>
  <c r="G21" i="2"/>
  <c r="H21" i="2"/>
  <c r="I21" i="2"/>
  <c r="J21" i="2"/>
  <c r="K21" i="2"/>
  <c r="L21" i="2"/>
  <c r="M21" i="2"/>
  <c r="N21" i="2"/>
  <c r="O21" i="2"/>
  <c r="P21" i="2"/>
  <c r="Q21" i="2"/>
  <c r="R21" i="2"/>
  <c r="S21" i="2"/>
  <c r="T21" i="2"/>
  <c r="U21" i="2"/>
  <c r="V21" i="2"/>
  <c r="W21" i="2"/>
  <c r="Y21" i="2"/>
  <c r="Z21" i="2"/>
  <c r="AA21" i="2"/>
  <c r="AB21" i="2"/>
  <c r="AC21" i="2"/>
  <c r="AD21" i="2"/>
  <c r="AE21" i="2"/>
  <c r="AF21" i="2"/>
  <c r="AG21" i="2"/>
  <c r="AH21" i="2"/>
  <c r="AI21" i="2"/>
  <c r="B22" i="2"/>
  <c r="A22" i="2" s="1"/>
  <c r="F22" i="2"/>
  <c r="G22" i="2"/>
  <c r="H22" i="2"/>
  <c r="I22" i="2"/>
  <c r="J22" i="2"/>
  <c r="K22" i="2"/>
  <c r="L22" i="2"/>
  <c r="M22" i="2"/>
  <c r="N22" i="2"/>
  <c r="O22" i="2"/>
  <c r="P22" i="2"/>
  <c r="Q22" i="2"/>
  <c r="R22" i="2"/>
  <c r="S22" i="2"/>
  <c r="T22" i="2"/>
  <c r="U22" i="2"/>
  <c r="V22" i="2"/>
  <c r="W22" i="2"/>
  <c r="Y22" i="2"/>
  <c r="Z22" i="2"/>
  <c r="AA22" i="2"/>
  <c r="AB22" i="2"/>
  <c r="AC22" i="2"/>
  <c r="AD22" i="2"/>
  <c r="AE22" i="2"/>
  <c r="AF22" i="2"/>
  <c r="AG22" i="2"/>
  <c r="AH22" i="2"/>
  <c r="AI22" i="2"/>
  <c r="B23" i="2"/>
  <c r="A23" i="2" s="1"/>
  <c r="F23" i="2"/>
  <c r="G23" i="2"/>
  <c r="H23" i="2"/>
  <c r="I23" i="2"/>
  <c r="J23" i="2"/>
  <c r="K23" i="2"/>
  <c r="L23" i="2"/>
  <c r="M23" i="2"/>
  <c r="N23" i="2"/>
  <c r="O23" i="2"/>
  <c r="P23" i="2"/>
  <c r="Q23" i="2"/>
  <c r="R23" i="2"/>
  <c r="S23" i="2"/>
  <c r="T23" i="2"/>
  <c r="U23" i="2"/>
  <c r="V23" i="2"/>
  <c r="W23" i="2"/>
  <c r="Y23" i="2"/>
  <c r="Z23" i="2"/>
  <c r="AA23" i="2"/>
  <c r="AB23" i="2"/>
  <c r="AC23" i="2"/>
  <c r="AD23" i="2"/>
  <c r="AE23" i="2"/>
  <c r="AF23" i="2"/>
  <c r="AG23" i="2"/>
  <c r="AH23" i="2"/>
  <c r="AI23" i="2"/>
  <c r="B24" i="2"/>
  <c r="A24" i="2" s="1"/>
  <c r="F24" i="2"/>
  <c r="G24" i="2"/>
  <c r="H24" i="2"/>
  <c r="I24" i="2"/>
  <c r="J24" i="2"/>
  <c r="K24" i="2"/>
  <c r="L24" i="2"/>
  <c r="M24" i="2"/>
  <c r="N24" i="2"/>
  <c r="O24" i="2"/>
  <c r="P24" i="2"/>
  <c r="Q24" i="2"/>
  <c r="R24" i="2"/>
  <c r="S24" i="2"/>
  <c r="T24" i="2"/>
  <c r="U24" i="2"/>
  <c r="V24" i="2"/>
  <c r="W24" i="2"/>
  <c r="Y24" i="2"/>
  <c r="Z24" i="2"/>
  <c r="AA24" i="2"/>
  <c r="AB24" i="2"/>
  <c r="AC24" i="2"/>
  <c r="AD24" i="2"/>
  <c r="AE24" i="2"/>
  <c r="AF24" i="2"/>
  <c r="AG24" i="2"/>
  <c r="AH24" i="2"/>
  <c r="AI24" i="2"/>
  <c r="B25" i="2"/>
  <c r="A25" i="2" s="1"/>
  <c r="F25" i="2"/>
  <c r="G25" i="2"/>
  <c r="H25" i="2"/>
  <c r="I25" i="2"/>
  <c r="J25" i="2"/>
  <c r="K25" i="2"/>
  <c r="L25" i="2"/>
  <c r="M25" i="2"/>
  <c r="N25" i="2"/>
  <c r="O25" i="2"/>
  <c r="P25" i="2"/>
  <c r="Q25" i="2"/>
  <c r="R25" i="2"/>
  <c r="S25" i="2"/>
  <c r="T25" i="2"/>
  <c r="U25" i="2"/>
  <c r="V25" i="2"/>
  <c r="W25" i="2"/>
  <c r="Y25" i="2"/>
  <c r="Z25" i="2"/>
  <c r="AA25" i="2"/>
  <c r="AB25" i="2"/>
  <c r="AC25" i="2"/>
  <c r="AD25" i="2"/>
  <c r="AE25" i="2"/>
  <c r="AF25" i="2"/>
  <c r="AG25" i="2"/>
  <c r="AH25" i="2"/>
  <c r="AI25" i="2"/>
  <c r="B26" i="2"/>
  <c r="A26" i="2" s="1"/>
  <c r="F26" i="2"/>
  <c r="G26" i="2"/>
  <c r="H26" i="2"/>
  <c r="I26" i="2"/>
  <c r="J26" i="2"/>
  <c r="K26" i="2"/>
  <c r="L26" i="2"/>
  <c r="M26" i="2"/>
  <c r="N26" i="2"/>
  <c r="O26" i="2"/>
  <c r="P26" i="2"/>
  <c r="Q26" i="2"/>
  <c r="R26" i="2"/>
  <c r="S26" i="2"/>
  <c r="T26" i="2"/>
  <c r="U26" i="2"/>
  <c r="V26" i="2"/>
  <c r="W26" i="2"/>
  <c r="Y26" i="2"/>
  <c r="Z26" i="2"/>
  <c r="AA26" i="2"/>
  <c r="AB26" i="2"/>
  <c r="AC26" i="2"/>
  <c r="AD26" i="2"/>
  <c r="AE26" i="2"/>
  <c r="AF26" i="2"/>
  <c r="AG26" i="2"/>
  <c r="AH26" i="2"/>
  <c r="AI26" i="2"/>
  <c r="B27" i="2"/>
  <c r="A27" i="2" s="1"/>
  <c r="F27" i="2"/>
  <c r="G27" i="2"/>
  <c r="H27" i="2"/>
  <c r="I27" i="2"/>
  <c r="J27" i="2"/>
  <c r="K27" i="2"/>
  <c r="L27" i="2"/>
  <c r="M27" i="2"/>
  <c r="N27" i="2"/>
  <c r="O27" i="2"/>
  <c r="P27" i="2"/>
  <c r="Q27" i="2"/>
  <c r="R27" i="2"/>
  <c r="S27" i="2"/>
  <c r="T27" i="2"/>
  <c r="U27" i="2"/>
  <c r="V27" i="2"/>
  <c r="W27" i="2"/>
  <c r="Y27" i="2"/>
  <c r="Z27" i="2"/>
  <c r="AA27" i="2"/>
  <c r="AB27" i="2"/>
  <c r="AC27" i="2"/>
  <c r="AD27" i="2"/>
  <c r="AE27" i="2"/>
  <c r="AF27" i="2"/>
  <c r="AG27" i="2"/>
  <c r="AH27" i="2"/>
  <c r="AI27" i="2"/>
  <c r="B28" i="2"/>
  <c r="A28" i="2" s="1"/>
  <c r="F28" i="2"/>
  <c r="G28" i="2"/>
  <c r="H28" i="2"/>
  <c r="I28" i="2"/>
  <c r="J28" i="2"/>
  <c r="K28" i="2"/>
  <c r="L28" i="2"/>
  <c r="M28" i="2"/>
  <c r="N28" i="2"/>
  <c r="O28" i="2"/>
  <c r="P28" i="2"/>
  <c r="Q28" i="2"/>
  <c r="R28" i="2"/>
  <c r="S28" i="2"/>
  <c r="T28" i="2"/>
  <c r="U28" i="2"/>
  <c r="V28" i="2"/>
  <c r="W28" i="2"/>
  <c r="Y28" i="2"/>
  <c r="Z28" i="2"/>
  <c r="AA28" i="2"/>
  <c r="AB28" i="2"/>
  <c r="AC28" i="2"/>
  <c r="AD28" i="2"/>
  <c r="AE28" i="2"/>
  <c r="AF28" i="2"/>
  <c r="AG28" i="2"/>
  <c r="AH28" i="2"/>
  <c r="AI28" i="2"/>
  <c r="B29" i="2"/>
  <c r="A29" i="2" s="1"/>
  <c r="R29" i="2"/>
  <c r="B30" i="2"/>
  <c r="A30" i="2" s="1"/>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AI30" i="2"/>
  <c r="B31" i="2"/>
  <c r="A31" i="2" s="1"/>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AI31" i="2"/>
  <c r="B32" i="2"/>
  <c r="A32" i="2" s="1"/>
  <c r="F32" i="2"/>
  <c r="G32"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AI32" i="2"/>
  <c r="B33" i="2"/>
  <c r="A33" i="2" s="1"/>
  <c r="F33" i="2"/>
  <c r="G33" i="2"/>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AI33" i="2"/>
  <c r="B34" i="2"/>
  <c r="A34" i="2" s="1"/>
  <c r="F34" i="2"/>
  <c r="G34" i="2"/>
  <c r="H34" i="2"/>
  <c r="I34" i="2"/>
  <c r="J34" i="2"/>
  <c r="K34" i="2"/>
  <c r="L34" i="2"/>
  <c r="M34" i="2"/>
  <c r="N34" i="2"/>
  <c r="O34" i="2"/>
  <c r="P34" i="2"/>
  <c r="Q34" i="2"/>
  <c r="R34" i="2"/>
  <c r="S34" i="2"/>
  <c r="T34" i="2"/>
  <c r="U34" i="2"/>
  <c r="V34" i="2"/>
  <c r="W34" i="2"/>
  <c r="X34" i="2"/>
  <c r="Y34" i="2"/>
  <c r="Z34" i="2"/>
  <c r="AA34" i="2"/>
  <c r="AB34" i="2"/>
  <c r="AC34" i="2"/>
  <c r="AD34" i="2"/>
  <c r="AE34" i="2"/>
  <c r="AF34" i="2"/>
  <c r="AG34" i="2"/>
  <c r="AH34" i="2"/>
  <c r="AI34" i="2"/>
  <c r="B35" i="2"/>
  <c r="A35" i="2" s="1"/>
  <c r="F35" i="2"/>
  <c r="G35" i="2"/>
  <c r="H35" i="2"/>
  <c r="I35" i="2"/>
  <c r="J35" i="2"/>
  <c r="K35" i="2"/>
  <c r="L35" i="2"/>
  <c r="M35" i="2"/>
  <c r="N35" i="2"/>
  <c r="O35" i="2"/>
  <c r="P35" i="2"/>
  <c r="Q35" i="2"/>
  <c r="R35" i="2"/>
  <c r="S35" i="2"/>
  <c r="T35" i="2"/>
  <c r="U35" i="2"/>
  <c r="V35" i="2"/>
  <c r="W35" i="2"/>
  <c r="X35" i="2"/>
  <c r="Y35" i="2"/>
  <c r="Z35" i="2"/>
  <c r="AA35" i="2"/>
  <c r="AB35" i="2"/>
  <c r="AC35" i="2"/>
  <c r="AD35" i="2"/>
  <c r="AE35" i="2"/>
  <c r="AF35" i="2"/>
  <c r="AG35" i="2"/>
  <c r="AH35" i="2"/>
  <c r="AI35" i="2"/>
  <c r="B36" i="2"/>
  <c r="A36" i="2" s="1"/>
  <c r="F36" i="2"/>
  <c r="G36" i="2"/>
  <c r="H36" i="2"/>
  <c r="I36" i="2"/>
  <c r="J36" i="2"/>
  <c r="K36" i="2"/>
  <c r="L36" i="2"/>
  <c r="M36" i="2"/>
  <c r="N36" i="2"/>
  <c r="O36" i="2"/>
  <c r="P36" i="2"/>
  <c r="Q36" i="2"/>
  <c r="R36" i="2"/>
  <c r="S36" i="2"/>
  <c r="T36" i="2"/>
  <c r="U36" i="2"/>
  <c r="V36" i="2"/>
  <c r="W36" i="2"/>
  <c r="X36" i="2"/>
  <c r="Y36" i="2"/>
  <c r="Z36" i="2"/>
  <c r="AA36" i="2"/>
  <c r="AB36" i="2"/>
  <c r="AC36" i="2"/>
  <c r="AD36" i="2"/>
  <c r="AE36" i="2"/>
  <c r="AF36" i="2"/>
  <c r="AG36" i="2"/>
  <c r="AH36" i="2"/>
  <c r="AI36" i="2"/>
  <c r="A37" i="2"/>
  <c r="B37" i="2"/>
  <c r="F37" i="2"/>
  <c r="G37" i="2"/>
  <c r="H37" i="2"/>
  <c r="I37" i="2"/>
  <c r="J37" i="2"/>
  <c r="K37" i="2"/>
  <c r="L37" i="2"/>
  <c r="M37" i="2"/>
  <c r="N37" i="2"/>
  <c r="O37" i="2"/>
  <c r="P37" i="2"/>
  <c r="Q37" i="2"/>
  <c r="R37" i="2"/>
  <c r="S37" i="2"/>
  <c r="T37" i="2"/>
  <c r="U37" i="2"/>
  <c r="V37" i="2"/>
  <c r="W37" i="2"/>
  <c r="X37" i="2"/>
  <c r="Y37" i="2"/>
  <c r="Z37" i="2"/>
  <c r="AA37" i="2"/>
  <c r="AB37" i="2"/>
  <c r="AC37" i="2"/>
  <c r="AD37" i="2"/>
  <c r="AE37" i="2"/>
  <c r="AF37" i="2"/>
  <c r="AG37" i="2"/>
  <c r="AH37" i="2"/>
  <c r="AI37" i="2"/>
  <c r="B38" i="2"/>
  <c r="A38" i="2" s="1"/>
  <c r="F38" i="2"/>
  <c r="G38" i="2"/>
  <c r="H38" i="2"/>
  <c r="I38" i="2"/>
  <c r="J38" i="2"/>
  <c r="K38" i="2"/>
  <c r="L38" i="2"/>
  <c r="M38" i="2"/>
  <c r="N38" i="2"/>
  <c r="O38" i="2"/>
  <c r="P38" i="2"/>
  <c r="Q38" i="2"/>
  <c r="R38" i="2"/>
  <c r="S38" i="2"/>
  <c r="T38" i="2"/>
  <c r="U38" i="2"/>
  <c r="V38" i="2"/>
  <c r="W38" i="2"/>
  <c r="X38" i="2"/>
  <c r="Y38" i="2"/>
  <c r="Z38" i="2"/>
  <c r="AA38" i="2"/>
  <c r="AB38" i="2"/>
  <c r="AC38" i="2"/>
  <c r="AD38" i="2"/>
  <c r="AE38" i="2"/>
  <c r="AF38" i="2"/>
  <c r="AG38" i="2"/>
  <c r="AH38" i="2"/>
  <c r="AI38" i="2"/>
  <c r="B39" i="2"/>
  <c r="A39" i="2" s="1"/>
  <c r="F39" i="2"/>
  <c r="G39" i="2"/>
  <c r="H39" i="2"/>
  <c r="I39" i="2"/>
  <c r="J39" i="2"/>
  <c r="K39" i="2"/>
  <c r="L39" i="2"/>
  <c r="M39" i="2"/>
  <c r="N39" i="2"/>
  <c r="O39" i="2"/>
  <c r="P39" i="2"/>
  <c r="Q39" i="2"/>
  <c r="R39" i="2"/>
  <c r="S39" i="2"/>
  <c r="T39" i="2"/>
  <c r="U39" i="2"/>
  <c r="V39" i="2"/>
  <c r="W39" i="2"/>
  <c r="X39" i="2"/>
  <c r="Y39" i="2"/>
  <c r="Z39" i="2"/>
  <c r="AA39" i="2"/>
  <c r="AB39" i="2"/>
  <c r="AC39" i="2"/>
  <c r="AD39" i="2"/>
  <c r="AE39" i="2"/>
  <c r="AF39" i="2"/>
  <c r="AG39" i="2"/>
  <c r="AH39" i="2"/>
  <c r="AI39" i="2"/>
  <c r="B40" i="2"/>
  <c r="A40" i="2" s="1"/>
  <c r="F40" i="2"/>
  <c r="G40" i="2"/>
  <c r="H40" i="2"/>
  <c r="I40" i="2"/>
  <c r="J40" i="2"/>
  <c r="K40" i="2"/>
  <c r="L40" i="2"/>
  <c r="M40" i="2"/>
  <c r="N40" i="2"/>
  <c r="O40" i="2"/>
  <c r="P40" i="2"/>
  <c r="Q40" i="2"/>
  <c r="R40" i="2"/>
  <c r="S40" i="2"/>
  <c r="T40" i="2"/>
  <c r="U40" i="2"/>
  <c r="V40" i="2"/>
  <c r="W40" i="2"/>
  <c r="X40" i="2"/>
  <c r="Y40" i="2"/>
  <c r="Z40" i="2"/>
  <c r="AA40" i="2"/>
  <c r="AB40" i="2"/>
  <c r="AC40" i="2"/>
  <c r="AD40" i="2"/>
  <c r="AE40" i="2"/>
  <c r="AF40" i="2"/>
  <c r="AG40" i="2"/>
  <c r="AH40" i="2"/>
  <c r="AI40" i="2"/>
  <c r="B41" i="2"/>
  <c r="A41" i="2" s="1"/>
  <c r="F41" i="2"/>
  <c r="G41" i="2"/>
  <c r="H41" i="2"/>
  <c r="I41" i="2"/>
  <c r="J41" i="2"/>
  <c r="K41" i="2"/>
  <c r="L41" i="2"/>
  <c r="M41" i="2"/>
  <c r="N41" i="2"/>
  <c r="O41" i="2"/>
  <c r="P41" i="2"/>
  <c r="Q41" i="2"/>
  <c r="R41" i="2"/>
  <c r="S41" i="2"/>
  <c r="T41" i="2"/>
  <c r="U41" i="2"/>
  <c r="V41" i="2"/>
  <c r="W41" i="2"/>
  <c r="X41" i="2"/>
  <c r="Y41" i="2"/>
  <c r="Z41" i="2"/>
  <c r="AA41" i="2"/>
  <c r="AB41" i="2"/>
  <c r="AC41" i="2"/>
  <c r="AD41" i="2"/>
  <c r="AE41" i="2"/>
  <c r="AF41" i="2"/>
  <c r="AG41" i="2"/>
  <c r="AH41" i="2"/>
  <c r="AI41" i="2"/>
  <c r="B42" i="2"/>
  <c r="A42" i="2" s="1"/>
  <c r="F42" i="2"/>
  <c r="G42" i="2"/>
  <c r="H42" i="2"/>
  <c r="I42" i="2"/>
  <c r="J42" i="2"/>
  <c r="K42" i="2"/>
  <c r="L42" i="2"/>
  <c r="M42" i="2"/>
  <c r="N42" i="2"/>
  <c r="O42" i="2"/>
  <c r="P42" i="2"/>
  <c r="Q42" i="2"/>
  <c r="R42" i="2"/>
  <c r="S42" i="2"/>
  <c r="T42" i="2"/>
  <c r="U42" i="2"/>
  <c r="V42" i="2"/>
  <c r="W42" i="2"/>
  <c r="X42" i="2"/>
  <c r="Y42" i="2"/>
  <c r="Z42" i="2"/>
  <c r="AA42" i="2"/>
  <c r="AB42" i="2"/>
  <c r="AC42" i="2"/>
  <c r="AD42" i="2"/>
  <c r="AE42" i="2"/>
  <c r="AF42" i="2"/>
  <c r="AG42" i="2"/>
  <c r="AH42" i="2"/>
  <c r="AI42" i="2"/>
  <c r="B43" i="2"/>
  <c r="A43" i="2" s="1"/>
  <c r="F43" i="2"/>
  <c r="G43" i="2"/>
  <c r="H43" i="2"/>
  <c r="I43" i="2"/>
  <c r="J43" i="2"/>
  <c r="K43" i="2"/>
  <c r="L43" i="2"/>
  <c r="M43" i="2"/>
  <c r="N43" i="2"/>
  <c r="O43" i="2"/>
  <c r="P43" i="2"/>
  <c r="Q43" i="2"/>
  <c r="R43" i="2"/>
  <c r="S43" i="2"/>
  <c r="T43" i="2"/>
  <c r="U43" i="2"/>
  <c r="V43" i="2"/>
  <c r="W43" i="2"/>
  <c r="X43" i="2"/>
  <c r="Y43" i="2"/>
  <c r="Z43" i="2"/>
  <c r="AA43" i="2"/>
  <c r="AB43" i="2"/>
  <c r="AC43" i="2"/>
  <c r="AD43" i="2"/>
  <c r="AE43" i="2"/>
  <c r="AF43" i="2"/>
  <c r="AG43" i="2"/>
  <c r="AH43" i="2"/>
  <c r="AI43" i="2"/>
  <c r="B44" i="2"/>
  <c r="A44" i="2" s="1"/>
  <c r="F44" i="2"/>
  <c r="G44" i="2"/>
  <c r="H44" i="2"/>
  <c r="I44" i="2"/>
  <c r="J44" i="2"/>
  <c r="K44" i="2"/>
  <c r="L44" i="2"/>
  <c r="M44" i="2"/>
  <c r="N44" i="2"/>
  <c r="O44" i="2"/>
  <c r="P44" i="2"/>
  <c r="Q44" i="2"/>
  <c r="R44" i="2"/>
  <c r="S44" i="2"/>
  <c r="T44" i="2"/>
  <c r="U44" i="2"/>
  <c r="V44" i="2"/>
  <c r="W44" i="2"/>
  <c r="X44" i="2"/>
  <c r="Y44" i="2"/>
  <c r="Z44" i="2"/>
  <c r="AA44" i="2"/>
  <c r="AB44" i="2"/>
  <c r="AC44" i="2"/>
  <c r="AD44" i="2"/>
  <c r="AE44" i="2"/>
  <c r="AF44" i="2"/>
  <c r="AG44" i="2"/>
  <c r="AH44" i="2"/>
  <c r="AI44" i="2"/>
  <c r="B45" i="2"/>
  <c r="A45" i="2" s="1"/>
  <c r="F45" i="2"/>
  <c r="G45" i="2"/>
  <c r="H45" i="2"/>
  <c r="I45" i="2"/>
  <c r="J45" i="2"/>
  <c r="K45" i="2"/>
  <c r="L45" i="2"/>
  <c r="M45" i="2"/>
  <c r="N45" i="2"/>
  <c r="O45" i="2"/>
  <c r="P45" i="2"/>
  <c r="Q45" i="2"/>
  <c r="R45" i="2"/>
  <c r="S45" i="2"/>
  <c r="T45" i="2"/>
  <c r="U45" i="2"/>
  <c r="V45" i="2"/>
  <c r="W45" i="2"/>
  <c r="X45" i="2"/>
  <c r="Y45" i="2"/>
  <c r="Z45" i="2"/>
  <c r="AA45" i="2"/>
  <c r="AB45" i="2"/>
  <c r="AC45" i="2"/>
  <c r="AD45" i="2"/>
  <c r="AE45" i="2"/>
  <c r="AF45" i="2"/>
  <c r="AG45" i="2"/>
  <c r="AH45" i="2"/>
  <c r="AI45" i="2"/>
  <c r="B46" i="2"/>
  <c r="A46" i="2" s="1"/>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B47" i="2"/>
  <c r="A47" i="2" s="1"/>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I47" i="2"/>
  <c r="B48" i="2"/>
  <c r="A48" i="2" s="1"/>
  <c r="F48" i="2"/>
  <c r="G48" i="2"/>
  <c r="H48" i="2"/>
  <c r="I48" i="2"/>
  <c r="J48" i="2"/>
  <c r="K48" i="2"/>
  <c r="L48" i="2"/>
  <c r="M48" i="2"/>
  <c r="N48" i="2"/>
  <c r="O48" i="2"/>
  <c r="P48" i="2"/>
  <c r="Q48" i="2"/>
  <c r="R48" i="2"/>
  <c r="S48" i="2"/>
  <c r="T48" i="2"/>
  <c r="U48" i="2"/>
  <c r="V48" i="2"/>
  <c r="W48" i="2"/>
  <c r="X48" i="2"/>
  <c r="Y48" i="2"/>
  <c r="Z48" i="2"/>
  <c r="AA48" i="2"/>
  <c r="AB48" i="2"/>
  <c r="AC48" i="2"/>
  <c r="AD48" i="2"/>
  <c r="AE48" i="2"/>
  <c r="AF48" i="2"/>
  <c r="AG48" i="2"/>
  <c r="AI48" i="2"/>
  <c r="B49" i="2"/>
  <c r="A49" i="2" s="1"/>
  <c r="F49" i="2"/>
  <c r="G49" i="2"/>
  <c r="H49" i="2"/>
  <c r="I49" i="2"/>
  <c r="J49" i="2"/>
  <c r="K49" i="2"/>
  <c r="L49" i="2"/>
  <c r="M49" i="2"/>
  <c r="N49" i="2"/>
  <c r="O49" i="2"/>
  <c r="P49" i="2"/>
  <c r="Q49" i="2"/>
  <c r="R49" i="2"/>
  <c r="S49" i="2"/>
  <c r="T49" i="2"/>
  <c r="U49" i="2"/>
  <c r="V49" i="2"/>
  <c r="W49" i="2"/>
  <c r="X49" i="2"/>
  <c r="Y49" i="2"/>
  <c r="Z49" i="2"/>
  <c r="AA49" i="2"/>
  <c r="AB49" i="2"/>
  <c r="AC49" i="2"/>
  <c r="AD49" i="2"/>
  <c r="AE49" i="2"/>
  <c r="AF49" i="2"/>
  <c r="AG49" i="2"/>
  <c r="AH49" i="2"/>
  <c r="AI49" i="2"/>
  <c r="B50" i="2"/>
  <c r="A50"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B51" i="2"/>
  <c r="A51" i="2" s="1"/>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B52" i="2"/>
  <c r="A52" i="2" s="1"/>
  <c r="F52" i="2"/>
  <c r="G52" i="2"/>
  <c r="H52" i="2"/>
  <c r="I52" i="2"/>
  <c r="J52" i="2"/>
  <c r="K52" i="2"/>
  <c r="L52" i="2"/>
  <c r="M52" i="2"/>
  <c r="N52" i="2"/>
  <c r="O52" i="2"/>
  <c r="P52" i="2"/>
  <c r="Q52" i="2"/>
  <c r="R52" i="2"/>
  <c r="S52" i="2"/>
  <c r="T52" i="2"/>
  <c r="U52" i="2"/>
  <c r="V52" i="2"/>
  <c r="W52" i="2"/>
  <c r="X52" i="2"/>
  <c r="Y52" i="2"/>
  <c r="Z52" i="2"/>
  <c r="AA52" i="2"/>
  <c r="AB52" i="2"/>
  <c r="AC52" i="2"/>
  <c r="AD52" i="2"/>
  <c r="AE52" i="2"/>
  <c r="AF52" i="2"/>
  <c r="AG52" i="2"/>
  <c r="AH52" i="2"/>
  <c r="AI52" i="2"/>
  <c r="B53" i="2"/>
  <c r="A53" i="2" s="1"/>
  <c r="F53" i="2"/>
  <c r="G53" i="2"/>
  <c r="H53" i="2"/>
  <c r="I53" i="2"/>
  <c r="J53" i="2"/>
  <c r="K53" i="2"/>
  <c r="L53" i="2"/>
  <c r="M53" i="2"/>
  <c r="N53" i="2"/>
  <c r="O53" i="2"/>
  <c r="P53" i="2"/>
  <c r="Q53" i="2"/>
  <c r="R53" i="2"/>
  <c r="S53" i="2"/>
  <c r="T53" i="2"/>
  <c r="U53" i="2"/>
  <c r="V53" i="2"/>
  <c r="W53" i="2"/>
  <c r="X53" i="2"/>
  <c r="Y53" i="2"/>
  <c r="Z53" i="2"/>
  <c r="AA53" i="2"/>
  <c r="AB53" i="2"/>
  <c r="AC53" i="2"/>
  <c r="AD53" i="2"/>
  <c r="AE53" i="2"/>
  <c r="AF53" i="2"/>
  <c r="AG53" i="2"/>
  <c r="AH53" i="2"/>
  <c r="AI53" i="2"/>
  <c r="B54" i="2"/>
  <c r="A54" i="2" s="1"/>
  <c r="F54" i="2"/>
  <c r="G54" i="2"/>
  <c r="H54" i="2"/>
  <c r="I54" i="2"/>
  <c r="J54" i="2"/>
  <c r="K54" i="2"/>
  <c r="L54" i="2"/>
  <c r="M54" i="2"/>
  <c r="N54" i="2"/>
  <c r="O54" i="2"/>
  <c r="P54" i="2"/>
  <c r="Q54" i="2"/>
  <c r="R54" i="2"/>
  <c r="S54" i="2"/>
  <c r="T54" i="2"/>
  <c r="U54" i="2"/>
  <c r="V54" i="2"/>
  <c r="W54" i="2"/>
  <c r="X54" i="2"/>
  <c r="Y54" i="2"/>
  <c r="Z54" i="2"/>
  <c r="AA54" i="2"/>
  <c r="AB54" i="2"/>
  <c r="AC54" i="2"/>
  <c r="AD54" i="2"/>
  <c r="AE54" i="2"/>
  <c r="AF54" i="2"/>
  <c r="AG54" i="2"/>
  <c r="AH54" i="2"/>
  <c r="AI54" i="2"/>
  <c r="B55" i="2"/>
  <c r="A55" i="2" s="1"/>
  <c r="F55" i="2"/>
  <c r="G55" i="2"/>
  <c r="H55" i="2"/>
  <c r="I55" i="2"/>
  <c r="J55" i="2"/>
  <c r="K55" i="2"/>
  <c r="L55" i="2"/>
  <c r="M55" i="2"/>
  <c r="N55" i="2"/>
  <c r="O55" i="2"/>
  <c r="P55" i="2"/>
  <c r="Q55" i="2"/>
  <c r="R55" i="2"/>
  <c r="S55" i="2"/>
  <c r="T55" i="2"/>
  <c r="U55" i="2"/>
  <c r="V55" i="2"/>
  <c r="W55" i="2"/>
  <c r="X55" i="2"/>
  <c r="Y55" i="2"/>
  <c r="Z55" i="2"/>
  <c r="AA55" i="2"/>
  <c r="AB55" i="2"/>
  <c r="AC55" i="2"/>
  <c r="AD55" i="2"/>
  <c r="AE55" i="2"/>
  <c r="AF55" i="2"/>
  <c r="AG55" i="2"/>
  <c r="AH55" i="2"/>
  <c r="AI55" i="2"/>
  <c r="B56" i="2"/>
  <c r="A56" i="2" s="1"/>
  <c r="F56" i="2"/>
  <c r="G56" i="2"/>
  <c r="H56" i="2"/>
  <c r="I56" i="2"/>
  <c r="J56" i="2"/>
  <c r="K56" i="2"/>
  <c r="L56" i="2"/>
  <c r="M56" i="2"/>
  <c r="N56" i="2"/>
  <c r="O56" i="2"/>
  <c r="P56" i="2"/>
  <c r="Q56" i="2"/>
  <c r="R56" i="2"/>
  <c r="S56" i="2"/>
  <c r="T56" i="2"/>
  <c r="U56" i="2"/>
  <c r="V56" i="2"/>
  <c r="W56" i="2"/>
  <c r="X56" i="2"/>
  <c r="Y56" i="2"/>
  <c r="Z56" i="2"/>
  <c r="AA56" i="2"/>
  <c r="AB56" i="2"/>
  <c r="AC56" i="2"/>
  <c r="AD56" i="2"/>
  <c r="AE56" i="2"/>
  <c r="AF56" i="2"/>
  <c r="AG56" i="2"/>
  <c r="AH56" i="2"/>
  <c r="AI56" i="2"/>
  <c r="B57" i="2"/>
  <c r="A57" i="2" s="1"/>
  <c r="F57" i="2"/>
  <c r="G57" i="2"/>
  <c r="H57" i="2"/>
  <c r="I57" i="2"/>
  <c r="J57" i="2"/>
  <c r="K57" i="2"/>
  <c r="L57" i="2"/>
  <c r="M57" i="2"/>
  <c r="N57" i="2"/>
  <c r="O57" i="2"/>
  <c r="P57" i="2"/>
  <c r="Q57" i="2"/>
  <c r="R57" i="2"/>
  <c r="S57" i="2"/>
  <c r="T57" i="2"/>
  <c r="U57" i="2"/>
  <c r="V57" i="2"/>
  <c r="W57" i="2"/>
  <c r="X57" i="2"/>
  <c r="Y57" i="2"/>
  <c r="Z57" i="2"/>
  <c r="AA57" i="2"/>
  <c r="AB57" i="2"/>
  <c r="AC57" i="2"/>
  <c r="AD57" i="2"/>
  <c r="AE57" i="2"/>
  <c r="AF57" i="2"/>
  <c r="AG57" i="2"/>
  <c r="AH57" i="2"/>
  <c r="AI57" i="2"/>
  <c r="B58" i="2"/>
  <c r="A58" i="2" s="1"/>
  <c r="F58" i="2"/>
  <c r="G58" i="2"/>
  <c r="H58" i="2"/>
  <c r="I58" i="2"/>
  <c r="J58" i="2"/>
  <c r="K58" i="2"/>
  <c r="L58" i="2"/>
  <c r="M58" i="2"/>
  <c r="N58" i="2"/>
  <c r="O58" i="2"/>
  <c r="P58" i="2"/>
  <c r="Q58" i="2"/>
  <c r="R58" i="2"/>
  <c r="S58" i="2"/>
  <c r="T58" i="2"/>
  <c r="U58" i="2"/>
  <c r="V58" i="2"/>
  <c r="W58" i="2"/>
  <c r="X58" i="2"/>
  <c r="Y58" i="2"/>
  <c r="Z58" i="2"/>
  <c r="AA58" i="2"/>
  <c r="AB58" i="2"/>
  <c r="AC58" i="2"/>
  <c r="AD58" i="2"/>
  <c r="AE58" i="2"/>
  <c r="AF58" i="2"/>
  <c r="AG58" i="2"/>
  <c r="AH58" i="2"/>
  <c r="AI58" i="2"/>
  <c r="B59" i="2"/>
  <c r="A59" i="2" s="1"/>
  <c r="F59" i="2"/>
  <c r="G59" i="2"/>
  <c r="H59" i="2"/>
  <c r="I59" i="2"/>
  <c r="J59" i="2"/>
  <c r="K59" i="2"/>
  <c r="L59" i="2"/>
  <c r="M59" i="2"/>
  <c r="N59" i="2"/>
  <c r="O59" i="2"/>
  <c r="P59" i="2"/>
  <c r="Q59" i="2"/>
  <c r="R59" i="2"/>
  <c r="S59" i="2"/>
  <c r="T59" i="2"/>
  <c r="U59" i="2"/>
  <c r="V59" i="2"/>
  <c r="W59" i="2"/>
  <c r="X59" i="2"/>
  <c r="Y59" i="2"/>
  <c r="Z59" i="2"/>
  <c r="AA59" i="2"/>
  <c r="AB59" i="2"/>
  <c r="AC59" i="2"/>
  <c r="AD59" i="2"/>
  <c r="AE59" i="2"/>
  <c r="AF59" i="2"/>
  <c r="AG59" i="2"/>
  <c r="AH59" i="2"/>
  <c r="AI59" i="2"/>
  <c r="B60" i="2"/>
  <c r="A60" i="2" s="1"/>
  <c r="F60" i="2"/>
  <c r="G60" i="2"/>
  <c r="H60" i="2"/>
  <c r="I60" i="2"/>
  <c r="J60" i="2"/>
  <c r="K60" i="2"/>
  <c r="L60" i="2"/>
  <c r="M60" i="2"/>
  <c r="N60" i="2"/>
  <c r="O60" i="2"/>
  <c r="P60" i="2"/>
  <c r="Q60" i="2"/>
  <c r="R60" i="2"/>
  <c r="S60" i="2"/>
  <c r="T60" i="2"/>
  <c r="U60" i="2"/>
  <c r="V60" i="2"/>
  <c r="W60" i="2"/>
  <c r="X60" i="2"/>
  <c r="Y60" i="2"/>
  <c r="Z60" i="2"/>
  <c r="AA60" i="2"/>
  <c r="AB60" i="2"/>
  <c r="AC60" i="2"/>
  <c r="AD60" i="2"/>
  <c r="AE60" i="2"/>
  <c r="AF60" i="2"/>
  <c r="AG60" i="2"/>
  <c r="AH60" i="2"/>
  <c r="AI60" i="2"/>
  <c r="B61" i="2"/>
  <c r="A61" i="2" s="1"/>
  <c r="F61" i="2"/>
  <c r="G61" i="2"/>
  <c r="H61" i="2"/>
  <c r="I61" i="2"/>
  <c r="J61" i="2"/>
  <c r="K61" i="2"/>
  <c r="L61" i="2"/>
  <c r="M61" i="2"/>
  <c r="N61" i="2"/>
  <c r="O61" i="2"/>
  <c r="P61" i="2"/>
  <c r="Q61" i="2"/>
  <c r="R61" i="2"/>
  <c r="S61" i="2"/>
  <c r="T61" i="2"/>
  <c r="U61" i="2"/>
  <c r="V61" i="2"/>
  <c r="W61" i="2"/>
  <c r="X61" i="2"/>
  <c r="Y61" i="2"/>
  <c r="Z61" i="2"/>
  <c r="AA61" i="2"/>
  <c r="AB61" i="2"/>
  <c r="AC61" i="2"/>
  <c r="AD61" i="2"/>
  <c r="AE61" i="2"/>
  <c r="AF61" i="2"/>
  <c r="AG61" i="2"/>
  <c r="AH61" i="2"/>
  <c r="AI61" i="2"/>
  <c r="B62" i="2"/>
  <c r="A62" i="2" s="1"/>
  <c r="F62" i="2"/>
  <c r="G62" i="2"/>
  <c r="H62" i="2"/>
  <c r="I62" i="2"/>
  <c r="J62" i="2"/>
  <c r="K62" i="2"/>
  <c r="L62" i="2"/>
  <c r="M62" i="2"/>
  <c r="N62" i="2"/>
  <c r="O62" i="2"/>
  <c r="P62" i="2"/>
  <c r="Q62" i="2"/>
  <c r="R62" i="2"/>
  <c r="S62" i="2"/>
  <c r="T62" i="2"/>
  <c r="U62" i="2"/>
  <c r="V62" i="2"/>
  <c r="W62" i="2"/>
  <c r="X62" i="2"/>
  <c r="Y62" i="2"/>
  <c r="Z62" i="2"/>
  <c r="AA62" i="2"/>
  <c r="AB62" i="2"/>
  <c r="AC62" i="2"/>
  <c r="AD62" i="2"/>
  <c r="AE62" i="2"/>
  <c r="AF62" i="2"/>
  <c r="AG62" i="2"/>
  <c r="AH62" i="2"/>
  <c r="AI62" i="2"/>
  <c r="B63" i="2"/>
  <c r="A63" i="2" s="1"/>
  <c r="F63" i="2"/>
  <c r="G63" i="2"/>
  <c r="H63" i="2"/>
  <c r="I63" i="2"/>
  <c r="J63" i="2"/>
  <c r="K63" i="2"/>
  <c r="L63" i="2"/>
  <c r="M63" i="2"/>
  <c r="N63" i="2"/>
  <c r="O63" i="2"/>
  <c r="P63" i="2"/>
  <c r="Q63" i="2"/>
  <c r="R63" i="2"/>
  <c r="S63" i="2"/>
  <c r="T63" i="2"/>
  <c r="U63" i="2"/>
  <c r="V63" i="2"/>
  <c r="W63" i="2"/>
  <c r="X63" i="2"/>
  <c r="Y63" i="2"/>
  <c r="Z63" i="2"/>
  <c r="AA63" i="2"/>
  <c r="AB63" i="2"/>
  <c r="AC63" i="2"/>
  <c r="AD63" i="2"/>
  <c r="AE63" i="2"/>
  <c r="AF63" i="2"/>
  <c r="AG63" i="2"/>
  <c r="AH63" i="2"/>
  <c r="AI63" i="2"/>
  <c r="B64" i="2"/>
  <c r="A64" i="2" s="1"/>
  <c r="F64" i="2"/>
  <c r="G64" i="2"/>
  <c r="H64" i="2"/>
  <c r="I64" i="2"/>
  <c r="J64" i="2"/>
  <c r="K64" i="2"/>
  <c r="L64" i="2"/>
  <c r="M64" i="2"/>
  <c r="N64" i="2"/>
  <c r="O64" i="2"/>
  <c r="P64" i="2"/>
  <c r="Q64" i="2"/>
  <c r="R64" i="2"/>
  <c r="S64" i="2"/>
  <c r="T64" i="2"/>
  <c r="U64" i="2"/>
  <c r="V64" i="2"/>
  <c r="W64" i="2"/>
  <c r="X64" i="2"/>
  <c r="Y64" i="2"/>
  <c r="Z64" i="2"/>
  <c r="AA64" i="2"/>
  <c r="AB64" i="2"/>
  <c r="AC64" i="2"/>
  <c r="AD64" i="2"/>
  <c r="AE64" i="2"/>
  <c r="AF64" i="2"/>
  <c r="AG64" i="2"/>
  <c r="AH64" i="2"/>
  <c r="AI64" i="2"/>
  <c r="B65" i="2"/>
  <c r="A65" i="2" s="1"/>
  <c r="F65" i="2"/>
  <c r="G65" i="2"/>
  <c r="H65" i="2"/>
  <c r="I65" i="2"/>
  <c r="J65" i="2"/>
  <c r="K65" i="2"/>
  <c r="L65" i="2"/>
  <c r="M65" i="2"/>
  <c r="N65" i="2"/>
  <c r="O65" i="2"/>
  <c r="P65" i="2"/>
  <c r="Q65" i="2"/>
  <c r="R65" i="2"/>
  <c r="S65" i="2"/>
  <c r="T65" i="2"/>
  <c r="U65" i="2"/>
  <c r="V65" i="2"/>
  <c r="W65" i="2"/>
  <c r="X65" i="2"/>
  <c r="Y65" i="2"/>
  <c r="Z65" i="2"/>
  <c r="AA65" i="2"/>
  <c r="AB65" i="2"/>
  <c r="AC65" i="2"/>
  <c r="AD65" i="2"/>
  <c r="AE65" i="2"/>
  <c r="AF65" i="2"/>
  <c r="AG65" i="2"/>
  <c r="AH65" i="2"/>
  <c r="AI65" i="2"/>
  <c r="B66" i="2"/>
  <c r="A66" i="2" s="1"/>
  <c r="F66" i="2"/>
  <c r="G66" i="2"/>
  <c r="H66" i="2"/>
  <c r="I66" i="2"/>
  <c r="J66" i="2"/>
  <c r="K66" i="2"/>
  <c r="L66" i="2"/>
  <c r="M66" i="2"/>
  <c r="N66" i="2"/>
  <c r="O66" i="2"/>
  <c r="P66" i="2"/>
  <c r="Q66" i="2"/>
  <c r="R66" i="2"/>
  <c r="S66" i="2"/>
  <c r="T66" i="2"/>
  <c r="U66" i="2"/>
  <c r="V66" i="2"/>
  <c r="W66" i="2"/>
  <c r="X66" i="2"/>
  <c r="Y66" i="2"/>
  <c r="Z66" i="2"/>
  <c r="AA66" i="2"/>
  <c r="AB66" i="2"/>
  <c r="AC66" i="2"/>
  <c r="AD66" i="2"/>
  <c r="AE66" i="2"/>
  <c r="AF66" i="2"/>
  <c r="AG66" i="2"/>
  <c r="AH66" i="2"/>
  <c r="AI66" i="2"/>
  <c r="B67" i="2"/>
  <c r="A67" i="2" s="1"/>
  <c r="F67" i="2"/>
  <c r="G67" i="2"/>
  <c r="H67" i="2"/>
  <c r="I67" i="2"/>
  <c r="J67" i="2"/>
  <c r="K67" i="2"/>
  <c r="L67" i="2"/>
  <c r="M67" i="2"/>
  <c r="N67" i="2"/>
  <c r="O67" i="2"/>
  <c r="P67" i="2"/>
  <c r="Q67" i="2"/>
  <c r="R67" i="2"/>
  <c r="S67" i="2"/>
  <c r="T67" i="2"/>
  <c r="U67" i="2"/>
  <c r="V67" i="2"/>
  <c r="W67" i="2"/>
  <c r="X67" i="2"/>
  <c r="Y67" i="2"/>
  <c r="Z67" i="2"/>
  <c r="AA67" i="2"/>
  <c r="AB67" i="2"/>
  <c r="AC67" i="2"/>
  <c r="AD67" i="2"/>
  <c r="AE67" i="2"/>
  <c r="AF67" i="2"/>
  <c r="AG67" i="2"/>
  <c r="AH67" i="2"/>
  <c r="AI67" i="2"/>
  <c r="B68" i="2"/>
  <c r="A68" i="2" s="1"/>
  <c r="C68" i="2" s="1"/>
  <c r="F68" i="2"/>
  <c r="G68" i="2"/>
  <c r="H68" i="2"/>
  <c r="I68" i="2"/>
  <c r="J68" i="2"/>
  <c r="K68" i="2"/>
  <c r="L68" i="2"/>
  <c r="M68" i="2"/>
  <c r="N68" i="2"/>
  <c r="O68" i="2"/>
  <c r="P68" i="2"/>
  <c r="Q68" i="2"/>
  <c r="R68" i="2"/>
  <c r="S68" i="2"/>
  <c r="T68" i="2"/>
  <c r="U68" i="2"/>
  <c r="V68" i="2"/>
  <c r="W68" i="2"/>
  <c r="X68" i="2"/>
  <c r="Y68" i="2"/>
  <c r="Z68" i="2"/>
  <c r="AA68" i="2"/>
  <c r="AB68" i="2"/>
  <c r="AC68" i="2"/>
  <c r="AD68" i="2"/>
  <c r="AE68" i="2"/>
  <c r="AF68" i="2"/>
  <c r="AG68" i="2"/>
  <c r="AH68" i="2"/>
  <c r="AI68" i="2"/>
  <c r="B69" i="2"/>
  <c r="A69" i="2" s="1"/>
  <c r="F69" i="2"/>
  <c r="G69" i="2"/>
  <c r="H69" i="2"/>
  <c r="I69" i="2"/>
  <c r="J69" i="2"/>
  <c r="K69" i="2"/>
  <c r="L69" i="2"/>
  <c r="M69" i="2"/>
  <c r="N69" i="2"/>
  <c r="O69" i="2"/>
  <c r="P69" i="2"/>
  <c r="Q69" i="2"/>
  <c r="R69" i="2"/>
  <c r="S69" i="2"/>
  <c r="T69" i="2"/>
  <c r="U69" i="2"/>
  <c r="V69" i="2"/>
  <c r="W69" i="2"/>
  <c r="X69" i="2"/>
  <c r="Y69" i="2"/>
  <c r="Z69" i="2"/>
  <c r="AA69" i="2"/>
  <c r="AB69" i="2"/>
  <c r="AC69" i="2"/>
  <c r="AD69" i="2"/>
  <c r="AE69" i="2"/>
  <c r="AF69" i="2"/>
  <c r="AG69" i="2"/>
  <c r="AH69" i="2"/>
  <c r="AI69" i="2"/>
  <c r="B70" i="2"/>
  <c r="A70" i="2" s="1"/>
  <c r="F70" i="2"/>
  <c r="G70" i="2"/>
  <c r="H70" i="2"/>
  <c r="I70" i="2"/>
  <c r="J70" i="2"/>
  <c r="K70" i="2"/>
  <c r="L70" i="2"/>
  <c r="M70" i="2"/>
  <c r="N70" i="2"/>
  <c r="O70" i="2"/>
  <c r="P70" i="2"/>
  <c r="Q70" i="2"/>
  <c r="R70" i="2"/>
  <c r="S70" i="2"/>
  <c r="T70" i="2"/>
  <c r="U70" i="2"/>
  <c r="V70" i="2"/>
  <c r="W70" i="2"/>
  <c r="X70" i="2"/>
  <c r="Y70" i="2"/>
  <c r="Z70" i="2"/>
  <c r="AA70" i="2"/>
  <c r="AB70" i="2"/>
  <c r="AC70" i="2"/>
  <c r="AD70" i="2"/>
  <c r="AE70" i="2"/>
  <c r="AF70" i="2"/>
  <c r="AG70" i="2"/>
  <c r="AH70" i="2"/>
  <c r="AI70" i="2"/>
  <c r="B71" i="2"/>
  <c r="A71" i="2" s="1"/>
  <c r="F71" i="2"/>
  <c r="G71" i="2"/>
  <c r="H71" i="2"/>
  <c r="I71" i="2"/>
  <c r="J71" i="2"/>
  <c r="K71" i="2"/>
  <c r="L71" i="2"/>
  <c r="M71" i="2"/>
  <c r="N71" i="2"/>
  <c r="O71" i="2"/>
  <c r="P71" i="2"/>
  <c r="Q71" i="2"/>
  <c r="R71" i="2"/>
  <c r="S71" i="2"/>
  <c r="T71" i="2"/>
  <c r="U71" i="2"/>
  <c r="V71" i="2"/>
  <c r="W71" i="2"/>
  <c r="X71" i="2"/>
  <c r="Y71" i="2"/>
  <c r="Z71" i="2"/>
  <c r="AA71" i="2"/>
  <c r="AB71" i="2"/>
  <c r="AC71" i="2"/>
  <c r="AD71" i="2"/>
  <c r="AE71" i="2"/>
  <c r="AF71" i="2"/>
  <c r="AG71" i="2"/>
  <c r="AH71" i="2"/>
  <c r="AI71" i="2"/>
  <c r="B72" i="2"/>
  <c r="A72" i="2" s="1"/>
  <c r="C72" i="2" s="1"/>
  <c r="F72" i="2"/>
  <c r="G72" i="2"/>
  <c r="H72" i="2"/>
  <c r="I72" i="2"/>
  <c r="J72" i="2"/>
  <c r="K72" i="2"/>
  <c r="L72" i="2"/>
  <c r="M72" i="2"/>
  <c r="N72" i="2"/>
  <c r="O72" i="2"/>
  <c r="P72" i="2"/>
  <c r="Q72" i="2"/>
  <c r="R72" i="2"/>
  <c r="S72" i="2"/>
  <c r="T72" i="2"/>
  <c r="U72" i="2"/>
  <c r="V72" i="2"/>
  <c r="W72" i="2"/>
  <c r="X72" i="2"/>
  <c r="Y72" i="2"/>
  <c r="Z72" i="2"/>
  <c r="AA72" i="2"/>
  <c r="AB72" i="2"/>
  <c r="AC72" i="2"/>
  <c r="AD72" i="2"/>
  <c r="AE72" i="2"/>
  <c r="AF72" i="2"/>
  <c r="AG72" i="2"/>
  <c r="AH72" i="2"/>
  <c r="AI72" i="2"/>
  <c r="B73" i="2"/>
  <c r="A73" i="2" s="1"/>
  <c r="F73" i="2"/>
  <c r="G73" i="2"/>
  <c r="H73" i="2"/>
  <c r="I73" i="2"/>
  <c r="J73" i="2"/>
  <c r="K73" i="2"/>
  <c r="L73" i="2"/>
  <c r="M73" i="2"/>
  <c r="N73" i="2"/>
  <c r="O73" i="2"/>
  <c r="P73" i="2"/>
  <c r="Q73" i="2"/>
  <c r="R73" i="2"/>
  <c r="S73" i="2"/>
  <c r="T73" i="2"/>
  <c r="U73" i="2"/>
  <c r="V73" i="2"/>
  <c r="W73" i="2"/>
  <c r="X73" i="2"/>
  <c r="Y73" i="2"/>
  <c r="Z73" i="2"/>
  <c r="AA73" i="2"/>
  <c r="AB73" i="2"/>
  <c r="AC73" i="2"/>
  <c r="AD73" i="2"/>
  <c r="AE73" i="2"/>
  <c r="AF73" i="2"/>
  <c r="AG73" i="2"/>
  <c r="AH73" i="2"/>
  <c r="AI73" i="2"/>
  <c r="B74" i="2"/>
  <c r="A74" i="2" s="1"/>
  <c r="F74" i="2"/>
  <c r="G74" i="2"/>
  <c r="H74" i="2"/>
  <c r="I74" i="2"/>
  <c r="J74" i="2"/>
  <c r="K74" i="2"/>
  <c r="L74" i="2"/>
  <c r="M74" i="2"/>
  <c r="N74" i="2"/>
  <c r="O74" i="2"/>
  <c r="P74" i="2"/>
  <c r="Q74" i="2"/>
  <c r="R74" i="2"/>
  <c r="S74" i="2"/>
  <c r="T74" i="2"/>
  <c r="U74" i="2"/>
  <c r="V74" i="2"/>
  <c r="W74" i="2"/>
  <c r="X74" i="2"/>
  <c r="Y74" i="2"/>
  <c r="Z74" i="2"/>
  <c r="AA74" i="2"/>
  <c r="AB74" i="2"/>
  <c r="AC74" i="2"/>
  <c r="AD74" i="2"/>
  <c r="AE74" i="2"/>
  <c r="AF74" i="2"/>
  <c r="AG74" i="2"/>
  <c r="AH74" i="2"/>
  <c r="AI74" i="2"/>
  <c r="B75" i="2"/>
  <c r="A75" i="2" s="1"/>
  <c r="D75" i="2" s="1"/>
  <c r="F75" i="2"/>
  <c r="G75" i="2"/>
  <c r="H75" i="2"/>
  <c r="I75" i="2"/>
  <c r="J75" i="2"/>
  <c r="K75" i="2"/>
  <c r="L75" i="2"/>
  <c r="M75" i="2"/>
  <c r="N75" i="2"/>
  <c r="O75" i="2"/>
  <c r="P75" i="2"/>
  <c r="Q75" i="2"/>
  <c r="R75" i="2"/>
  <c r="S75" i="2"/>
  <c r="T75" i="2"/>
  <c r="U75" i="2"/>
  <c r="V75" i="2"/>
  <c r="W75" i="2"/>
  <c r="X75" i="2"/>
  <c r="Y75" i="2"/>
  <c r="Z75" i="2"/>
  <c r="AA75" i="2"/>
  <c r="AB75" i="2"/>
  <c r="AC75" i="2"/>
  <c r="AD75" i="2"/>
  <c r="AE75" i="2"/>
  <c r="AF75" i="2"/>
  <c r="AG75" i="2"/>
  <c r="AH75" i="2"/>
  <c r="AI75" i="2"/>
  <c r="B76" i="2"/>
  <c r="A76" i="2" s="1"/>
  <c r="C76" i="2" s="1"/>
  <c r="F76" i="2"/>
  <c r="G76" i="2"/>
  <c r="H76" i="2"/>
  <c r="I76" i="2"/>
  <c r="J76" i="2"/>
  <c r="K76" i="2"/>
  <c r="L76" i="2"/>
  <c r="M76" i="2"/>
  <c r="N76" i="2"/>
  <c r="O76" i="2"/>
  <c r="P76" i="2"/>
  <c r="Q76" i="2"/>
  <c r="R76" i="2"/>
  <c r="S76" i="2"/>
  <c r="T76" i="2"/>
  <c r="U76" i="2"/>
  <c r="V76" i="2"/>
  <c r="W76" i="2"/>
  <c r="X76" i="2"/>
  <c r="Y76" i="2"/>
  <c r="Z76" i="2"/>
  <c r="AA76" i="2"/>
  <c r="AB76" i="2"/>
  <c r="AC76" i="2"/>
  <c r="AD76" i="2"/>
  <c r="AE76" i="2"/>
  <c r="AF76" i="2"/>
  <c r="AG76" i="2"/>
  <c r="AH76" i="2"/>
  <c r="AI76" i="2"/>
  <c r="B77" i="2"/>
  <c r="A77" i="2" s="1"/>
  <c r="F77" i="2"/>
  <c r="G77" i="2"/>
  <c r="H77" i="2"/>
  <c r="I77" i="2"/>
  <c r="J77" i="2"/>
  <c r="K77" i="2"/>
  <c r="L77" i="2"/>
  <c r="M77" i="2"/>
  <c r="N77" i="2"/>
  <c r="O77" i="2"/>
  <c r="P77" i="2"/>
  <c r="Q77" i="2"/>
  <c r="R77" i="2"/>
  <c r="S77" i="2"/>
  <c r="T77" i="2"/>
  <c r="U77" i="2"/>
  <c r="V77" i="2"/>
  <c r="W77" i="2"/>
  <c r="X77" i="2"/>
  <c r="Y77" i="2"/>
  <c r="Z77" i="2"/>
  <c r="AA77" i="2"/>
  <c r="AB77" i="2"/>
  <c r="AC77" i="2"/>
  <c r="AD77" i="2"/>
  <c r="AE77" i="2"/>
  <c r="AF77" i="2"/>
  <c r="AG77" i="2"/>
  <c r="AH77" i="2"/>
  <c r="AI77" i="2"/>
  <c r="B78" i="2"/>
  <c r="A78" i="2" s="1"/>
  <c r="F78" i="2"/>
  <c r="G78" i="2"/>
  <c r="H78" i="2"/>
  <c r="I78" i="2"/>
  <c r="J78" i="2"/>
  <c r="K78" i="2"/>
  <c r="L78" i="2"/>
  <c r="M78" i="2"/>
  <c r="N78" i="2"/>
  <c r="O78" i="2"/>
  <c r="P78" i="2"/>
  <c r="Q78" i="2"/>
  <c r="R78" i="2"/>
  <c r="S78" i="2"/>
  <c r="T78" i="2"/>
  <c r="U78" i="2"/>
  <c r="V78" i="2"/>
  <c r="W78" i="2"/>
  <c r="X78" i="2"/>
  <c r="Y78" i="2"/>
  <c r="Z78" i="2"/>
  <c r="AA78" i="2"/>
  <c r="AB78" i="2"/>
  <c r="AC78" i="2"/>
  <c r="AD78" i="2"/>
  <c r="AE78" i="2"/>
  <c r="AF78" i="2"/>
  <c r="AG78" i="2"/>
  <c r="AH78" i="2"/>
  <c r="AI78" i="2"/>
  <c r="B79" i="2"/>
  <c r="A79" i="2" s="1"/>
  <c r="F79" i="2"/>
  <c r="G79" i="2"/>
  <c r="H79" i="2"/>
  <c r="I79" i="2"/>
  <c r="J79" i="2"/>
  <c r="K79" i="2"/>
  <c r="L79" i="2"/>
  <c r="M79" i="2"/>
  <c r="N79" i="2"/>
  <c r="O79" i="2"/>
  <c r="P79" i="2"/>
  <c r="Q79" i="2"/>
  <c r="R79" i="2"/>
  <c r="S79" i="2"/>
  <c r="T79" i="2"/>
  <c r="U79" i="2"/>
  <c r="V79" i="2"/>
  <c r="W79" i="2"/>
  <c r="X79" i="2"/>
  <c r="Y79" i="2"/>
  <c r="Z79" i="2"/>
  <c r="AA79" i="2"/>
  <c r="AB79" i="2"/>
  <c r="AC79" i="2"/>
  <c r="AD79" i="2"/>
  <c r="AE79" i="2"/>
  <c r="AF79" i="2"/>
  <c r="AG79" i="2"/>
  <c r="AH79" i="2"/>
  <c r="AI79" i="2"/>
  <c r="B80" i="2"/>
  <c r="A80" i="2" s="1"/>
  <c r="C80" i="2" s="1"/>
  <c r="F80" i="2"/>
  <c r="G80" i="2"/>
  <c r="H80" i="2"/>
  <c r="I80" i="2"/>
  <c r="J80" i="2"/>
  <c r="K80" i="2"/>
  <c r="L80" i="2"/>
  <c r="M80" i="2"/>
  <c r="N80" i="2"/>
  <c r="O80" i="2"/>
  <c r="P80" i="2"/>
  <c r="Q80" i="2"/>
  <c r="R80" i="2"/>
  <c r="S80" i="2"/>
  <c r="T80" i="2"/>
  <c r="U80" i="2"/>
  <c r="V80" i="2"/>
  <c r="W80" i="2"/>
  <c r="X80" i="2"/>
  <c r="Y80" i="2"/>
  <c r="Z80" i="2"/>
  <c r="AA80" i="2"/>
  <c r="AB80" i="2"/>
  <c r="AC80" i="2"/>
  <c r="AD80" i="2"/>
  <c r="AE80" i="2"/>
  <c r="AF80" i="2"/>
  <c r="AG80" i="2"/>
  <c r="AH80" i="2"/>
  <c r="AI80" i="2"/>
  <c r="B81" i="2"/>
  <c r="A81" i="2" s="1"/>
  <c r="F81" i="2"/>
  <c r="G81" i="2"/>
  <c r="H81" i="2"/>
  <c r="I81" i="2"/>
  <c r="J81" i="2"/>
  <c r="K81" i="2"/>
  <c r="L81" i="2"/>
  <c r="M81" i="2"/>
  <c r="N81" i="2"/>
  <c r="O81" i="2"/>
  <c r="P81" i="2"/>
  <c r="Q81" i="2"/>
  <c r="R81" i="2"/>
  <c r="S81" i="2"/>
  <c r="T81" i="2"/>
  <c r="U81" i="2"/>
  <c r="V81" i="2"/>
  <c r="W81" i="2"/>
  <c r="X81" i="2"/>
  <c r="Y81" i="2"/>
  <c r="Z81" i="2"/>
  <c r="AA81" i="2"/>
  <c r="AB81" i="2"/>
  <c r="AC81" i="2"/>
  <c r="AD81" i="2"/>
  <c r="AE81" i="2"/>
  <c r="AF81" i="2"/>
  <c r="AG81" i="2"/>
  <c r="AH81" i="2"/>
  <c r="AI81" i="2"/>
  <c r="B82" i="2"/>
  <c r="A82" i="2" s="1"/>
  <c r="F82" i="2"/>
  <c r="G82" i="2"/>
  <c r="H82" i="2"/>
  <c r="I82" i="2"/>
  <c r="J82" i="2"/>
  <c r="K82" i="2"/>
  <c r="L82" i="2"/>
  <c r="M82" i="2"/>
  <c r="N82" i="2"/>
  <c r="O82" i="2"/>
  <c r="P82" i="2"/>
  <c r="Q82" i="2"/>
  <c r="R82" i="2"/>
  <c r="S82" i="2"/>
  <c r="T82" i="2"/>
  <c r="U82" i="2"/>
  <c r="V82" i="2"/>
  <c r="W82" i="2"/>
  <c r="X82" i="2"/>
  <c r="Y82" i="2"/>
  <c r="Z82" i="2"/>
  <c r="AA82" i="2"/>
  <c r="AB82" i="2"/>
  <c r="AC82" i="2"/>
  <c r="AD82" i="2"/>
  <c r="AE82" i="2"/>
  <c r="AF82" i="2"/>
  <c r="AG82" i="2"/>
  <c r="AH82" i="2"/>
  <c r="AI82" i="2"/>
  <c r="B83" i="2"/>
  <c r="A83" i="2" s="1"/>
  <c r="D83" i="2" s="1"/>
  <c r="F83" i="2"/>
  <c r="G83" i="2"/>
  <c r="H83" i="2"/>
  <c r="I83" i="2"/>
  <c r="J83" i="2"/>
  <c r="K83" i="2"/>
  <c r="L83" i="2"/>
  <c r="M83" i="2"/>
  <c r="N83" i="2"/>
  <c r="O83" i="2"/>
  <c r="P83" i="2"/>
  <c r="Q83" i="2"/>
  <c r="R83" i="2"/>
  <c r="S83" i="2"/>
  <c r="T83" i="2"/>
  <c r="U83" i="2"/>
  <c r="V83" i="2"/>
  <c r="W83" i="2"/>
  <c r="X83" i="2"/>
  <c r="Y83" i="2"/>
  <c r="Z83" i="2"/>
  <c r="AA83" i="2"/>
  <c r="AB83" i="2"/>
  <c r="AC83" i="2"/>
  <c r="AD83" i="2"/>
  <c r="AE83" i="2"/>
  <c r="AF83" i="2"/>
  <c r="AG83" i="2"/>
  <c r="AH83" i="2"/>
  <c r="AI83" i="2"/>
  <c r="B84" i="2"/>
  <c r="A84" i="2" s="1"/>
  <c r="C84" i="2" s="1"/>
  <c r="F84" i="2"/>
  <c r="G84" i="2"/>
  <c r="H84" i="2"/>
  <c r="I84" i="2"/>
  <c r="J84" i="2"/>
  <c r="K84" i="2"/>
  <c r="L84" i="2"/>
  <c r="M84" i="2"/>
  <c r="N84" i="2"/>
  <c r="O84" i="2"/>
  <c r="P84" i="2"/>
  <c r="Q84" i="2"/>
  <c r="R84" i="2"/>
  <c r="S84" i="2"/>
  <c r="T84" i="2"/>
  <c r="U84" i="2"/>
  <c r="V84" i="2"/>
  <c r="W84" i="2"/>
  <c r="X84" i="2"/>
  <c r="Y84" i="2"/>
  <c r="Z84" i="2"/>
  <c r="AA84" i="2"/>
  <c r="AB84" i="2"/>
  <c r="AC84" i="2"/>
  <c r="AD84" i="2"/>
  <c r="AE84" i="2"/>
  <c r="AF84" i="2"/>
  <c r="AG84" i="2"/>
  <c r="AH84" i="2"/>
  <c r="AI84" i="2"/>
  <c r="B85" i="2"/>
  <c r="A85" i="2" s="1"/>
  <c r="F85" i="2"/>
  <c r="G85" i="2"/>
  <c r="H85" i="2"/>
  <c r="I85" i="2"/>
  <c r="J85" i="2"/>
  <c r="K85" i="2"/>
  <c r="L85" i="2"/>
  <c r="M85" i="2"/>
  <c r="N85" i="2"/>
  <c r="O85" i="2"/>
  <c r="P85" i="2"/>
  <c r="Q85" i="2"/>
  <c r="R85" i="2"/>
  <c r="S85" i="2"/>
  <c r="T85" i="2"/>
  <c r="U85" i="2"/>
  <c r="V85" i="2"/>
  <c r="W85" i="2"/>
  <c r="X85" i="2"/>
  <c r="Y85" i="2"/>
  <c r="Z85" i="2"/>
  <c r="AA85" i="2"/>
  <c r="AB85" i="2"/>
  <c r="AC85" i="2"/>
  <c r="AD85" i="2"/>
  <c r="AE85" i="2"/>
  <c r="AF85" i="2"/>
  <c r="AG85" i="2"/>
  <c r="AH85" i="2"/>
  <c r="AI85" i="2"/>
  <c r="B86" i="2"/>
  <c r="A86" i="2" s="1"/>
  <c r="F86" i="2"/>
  <c r="G86" i="2"/>
  <c r="H86" i="2"/>
  <c r="I86" i="2"/>
  <c r="J86" i="2"/>
  <c r="K86" i="2"/>
  <c r="L86" i="2"/>
  <c r="M86" i="2"/>
  <c r="N86" i="2"/>
  <c r="O86" i="2"/>
  <c r="P86" i="2"/>
  <c r="Q86" i="2"/>
  <c r="R86" i="2"/>
  <c r="S86" i="2"/>
  <c r="T86" i="2"/>
  <c r="U86" i="2"/>
  <c r="V86" i="2"/>
  <c r="W86" i="2"/>
  <c r="X86" i="2"/>
  <c r="Y86" i="2"/>
  <c r="Z86" i="2"/>
  <c r="AA86" i="2"/>
  <c r="AB86" i="2"/>
  <c r="AC86" i="2"/>
  <c r="AD86" i="2"/>
  <c r="AE86" i="2"/>
  <c r="AF86" i="2"/>
  <c r="AG86" i="2"/>
  <c r="AH86" i="2"/>
  <c r="AI86" i="2"/>
  <c r="B87" i="2"/>
  <c r="A87" i="2" s="1"/>
  <c r="F87" i="2"/>
  <c r="G87" i="2"/>
  <c r="H87" i="2"/>
  <c r="I87" i="2"/>
  <c r="J87" i="2"/>
  <c r="K87" i="2"/>
  <c r="L87" i="2"/>
  <c r="M87" i="2"/>
  <c r="N87" i="2"/>
  <c r="O87" i="2"/>
  <c r="P87" i="2"/>
  <c r="Q87" i="2"/>
  <c r="R87" i="2"/>
  <c r="S87" i="2"/>
  <c r="T87" i="2"/>
  <c r="U87" i="2"/>
  <c r="V87" i="2"/>
  <c r="W87" i="2"/>
  <c r="X87" i="2"/>
  <c r="Y87" i="2"/>
  <c r="Z87" i="2"/>
  <c r="AA87" i="2"/>
  <c r="AB87" i="2"/>
  <c r="AC87" i="2"/>
  <c r="AD87" i="2"/>
  <c r="AE87" i="2"/>
  <c r="AF87" i="2"/>
  <c r="AG87" i="2"/>
  <c r="AH87" i="2"/>
  <c r="AI87" i="2"/>
  <c r="B88" i="2"/>
  <c r="A88" i="2" s="1"/>
  <c r="C88" i="2" s="1"/>
  <c r="F88" i="2"/>
  <c r="G88" i="2"/>
  <c r="H88" i="2"/>
  <c r="I88" i="2"/>
  <c r="J88" i="2"/>
  <c r="K88" i="2"/>
  <c r="L88" i="2"/>
  <c r="M88" i="2"/>
  <c r="N88" i="2"/>
  <c r="O88" i="2"/>
  <c r="P88" i="2"/>
  <c r="Q88" i="2"/>
  <c r="R88" i="2"/>
  <c r="S88" i="2"/>
  <c r="T88" i="2"/>
  <c r="U88" i="2"/>
  <c r="V88" i="2"/>
  <c r="W88" i="2"/>
  <c r="X88" i="2"/>
  <c r="Y88" i="2"/>
  <c r="Z88" i="2"/>
  <c r="AA88" i="2"/>
  <c r="AB88" i="2"/>
  <c r="AC88" i="2"/>
  <c r="AD88" i="2"/>
  <c r="AE88" i="2"/>
  <c r="AF88" i="2"/>
  <c r="AG88" i="2"/>
  <c r="AH88" i="2"/>
  <c r="AI88" i="2"/>
  <c r="B89" i="2"/>
  <c r="A89" i="2" s="1"/>
  <c r="F89" i="2"/>
  <c r="G89" i="2"/>
  <c r="H89" i="2"/>
  <c r="I89" i="2"/>
  <c r="J89" i="2"/>
  <c r="K89" i="2"/>
  <c r="L89" i="2"/>
  <c r="M89" i="2"/>
  <c r="N89" i="2"/>
  <c r="O89" i="2"/>
  <c r="P89" i="2"/>
  <c r="Q89" i="2"/>
  <c r="R89" i="2"/>
  <c r="S89" i="2"/>
  <c r="T89" i="2"/>
  <c r="U89" i="2"/>
  <c r="V89" i="2"/>
  <c r="W89" i="2"/>
  <c r="X89" i="2"/>
  <c r="Y89" i="2"/>
  <c r="Z89" i="2"/>
  <c r="AA89" i="2"/>
  <c r="AB89" i="2"/>
  <c r="AC89" i="2"/>
  <c r="AD89" i="2"/>
  <c r="AE89" i="2"/>
  <c r="AF89" i="2"/>
  <c r="AG89" i="2"/>
  <c r="AH89" i="2"/>
  <c r="AI89" i="2"/>
  <c r="B90" i="2"/>
  <c r="A90" i="2" s="1"/>
  <c r="F90" i="2"/>
  <c r="G90" i="2"/>
  <c r="H90" i="2"/>
  <c r="I90" i="2"/>
  <c r="J90" i="2"/>
  <c r="K90" i="2"/>
  <c r="L90" i="2"/>
  <c r="M90" i="2"/>
  <c r="N90" i="2"/>
  <c r="O90" i="2"/>
  <c r="P90" i="2"/>
  <c r="Q90" i="2"/>
  <c r="R90" i="2"/>
  <c r="S90" i="2"/>
  <c r="T90" i="2"/>
  <c r="U90" i="2"/>
  <c r="V90" i="2"/>
  <c r="W90" i="2"/>
  <c r="X90" i="2"/>
  <c r="Y90" i="2"/>
  <c r="Z90" i="2"/>
  <c r="AA90" i="2"/>
  <c r="AB90" i="2"/>
  <c r="AC90" i="2"/>
  <c r="AD90" i="2"/>
  <c r="AE90" i="2"/>
  <c r="AF90" i="2"/>
  <c r="AG90" i="2"/>
  <c r="AH90" i="2"/>
  <c r="AI90" i="2"/>
  <c r="B91" i="2"/>
  <c r="A91" i="2" s="1"/>
  <c r="D91" i="2" s="1"/>
  <c r="F91" i="2"/>
  <c r="G91" i="2"/>
  <c r="H91" i="2"/>
  <c r="I91" i="2"/>
  <c r="J91" i="2"/>
  <c r="K91" i="2"/>
  <c r="L91" i="2"/>
  <c r="M91" i="2"/>
  <c r="N91" i="2"/>
  <c r="O91" i="2"/>
  <c r="P91" i="2"/>
  <c r="Q91" i="2"/>
  <c r="R91" i="2"/>
  <c r="S91" i="2"/>
  <c r="T91" i="2"/>
  <c r="U91" i="2"/>
  <c r="V91" i="2"/>
  <c r="W91" i="2"/>
  <c r="X91" i="2"/>
  <c r="Y91" i="2"/>
  <c r="Z91" i="2"/>
  <c r="AA91" i="2"/>
  <c r="AB91" i="2"/>
  <c r="AC91" i="2"/>
  <c r="AD91" i="2"/>
  <c r="AE91" i="2"/>
  <c r="AF91" i="2"/>
  <c r="AG91" i="2"/>
  <c r="AH91" i="2"/>
  <c r="AI91" i="2"/>
  <c r="B92" i="2"/>
  <c r="A92" i="2" s="1"/>
  <c r="C92" i="2" s="1"/>
  <c r="F92" i="2"/>
  <c r="G92" i="2"/>
  <c r="H92" i="2"/>
  <c r="I92" i="2"/>
  <c r="J92" i="2"/>
  <c r="K92" i="2"/>
  <c r="L92" i="2"/>
  <c r="M92" i="2"/>
  <c r="N92" i="2"/>
  <c r="O92" i="2"/>
  <c r="P92" i="2"/>
  <c r="Q92" i="2"/>
  <c r="R92" i="2"/>
  <c r="S92" i="2"/>
  <c r="T92" i="2"/>
  <c r="U92" i="2"/>
  <c r="V92" i="2"/>
  <c r="W92" i="2"/>
  <c r="X92" i="2"/>
  <c r="Y92" i="2"/>
  <c r="Z92" i="2"/>
  <c r="AA92" i="2"/>
  <c r="AB92" i="2"/>
  <c r="AC92" i="2"/>
  <c r="AD92" i="2"/>
  <c r="AE92" i="2"/>
  <c r="AF92" i="2"/>
  <c r="AG92" i="2"/>
  <c r="AH92" i="2"/>
  <c r="AI92" i="2"/>
  <c r="B93" i="2"/>
  <c r="A93" i="2" s="1"/>
  <c r="F93" i="2"/>
  <c r="G93" i="2"/>
  <c r="H93" i="2"/>
  <c r="I93" i="2"/>
  <c r="J93" i="2"/>
  <c r="K93" i="2"/>
  <c r="L93" i="2"/>
  <c r="M93" i="2"/>
  <c r="N93" i="2"/>
  <c r="O93" i="2"/>
  <c r="P93" i="2"/>
  <c r="Q93" i="2"/>
  <c r="R93" i="2"/>
  <c r="S93" i="2"/>
  <c r="T93" i="2"/>
  <c r="U93" i="2"/>
  <c r="V93" i="2"/>
  <c r="W93" i="2"/>
  <c r="X93" i="2"/>
  <c r="Y93" i="2"/>
  <c r="Z93" i="2"/>
  <c r="AA93" i="2"/>
  <c r="AB93" i="2"/>
  <c r="AC93" i="2"/>
  <c r="AD93" i="2"/>
  <c r="AE93" i="2"/>
  <c r="AF93" i="2"/>
  <c r="AG93" i="2"/>
  <c r="AH93" i="2"/>
  <c r="AI93" i="2"/>
  <c r="B94" i="2"/>
  <c r="A94" i="2" s="1"/>
  <c r="F94" i="2"/>
  <c r="G94" i="2"/>
  <c r="H94" i="2"/>
  <c r="I94" i="2"/>
  <c r="J94" i="2"/>
  <c r="K94" i="2"/>
  <c r="L94" i="2"/>
  <c r="M94" i="2"/>
  <c r="N94" i="2"/>
  <c r="O94" i="2"/>
  <c r="P94" i="2"/>
  <c r="Q94" i="2"/>
  <c r="R94" i="2"/>
  <c r="S94" i="2"/>
  <c r="T94" i="2"/>
  <c r="U94" i="2"/>
  <c r="V94" i="2"/>
  <c r="W94" i="2"/>
  <c r="X94" i="2"/>
  <c r="Y94" i="2"/>
  <c r="Z94" i="2"/>
  <c r="AA94" i="2"/>
  <c r="AB94" i="2"/>
  <c r="AC94" i="2"/>
  <c r="AD94" i="2"/>
  <c r="AE94" i="2"/>
  <c r="AF94" i="2"/>
  <c r="AG94" i="2"/>
  <c r="AH94" i="2"/>
  <c r="AI94" i="2"/>
  <c r="B95" i="2"/>
  <c r="A95" i="2" s="1"/>
  <c r="F95" i="2"/>
  <c r="G95" i="2"/>
  <c r="H95" i="2"/>
  <c r="I95" i="2"/>
  <c r="J95" i="2"/>
  <c r="K95" i="2"/>
  <c r="L95" i="2"/>
  <c r="M95" i="2"/>
  <c r="N95" i="2"/>
  <c r="O95" i="2"/>
  <c r="P95" i="2"/>
  <c r="Q95" i="2"/>
  <c r="R95" i="2"/>
  <c r="S95" i="2"/>
  <c r="T95" i="2"/>
  <c r="U95" i="2"/>
  <c r="V95" i="2"/>
  <c r="W95" i="2"/>
  <c r="X95" i="2"/>
  <c r="Y95" i="2"/>
  <c r="Z95" i="2"/>
  <c r="AA95" i="2"/>
  <c r="AB95" i="2"/>
  <c r="AC95" i="2"/>
  <c r="AD95" i="2"/>
  <c r="AE95" i="2"/>
  <c r="AF95" i="2"/>
  <c r="AG95" i="2"/>
  <c r="AH95" i="2"/>
  <c r="AI95" i="2"/>
  <c r="B96" i="2"/>
  <c r="A96" i="2" s="1"/>
  <c r="C96" i="2" s="1"/>
  <c r="F96" i="2"/>
  <c r="G96" i="2"/>
  <c r="H96" i="2"/>
  <c r="I96" i="2"/>
  <c r="J96" i="2"/>
  <c r="K96" i="2"/>
  <c r="L96" i="2"/>
  <c r="M96" i="2"/>
  <c r="N96" i="2"/>
  <c r="O96" i="2"/>
  <c r="P96" i="2"/>
  <c r="Q96" i="2"/>
  <c r="R96" i="2"/>
  <c r="S96" i="2"/>
  <c r="T96" i="2"/>
  <c r="U96" i="2"/>
  <c r="V96" i="2"/>
  <c r="W96" i="2"/>
  <c r="X96" i="2"/>
  <c r="Y96" i="2"/>
  <c r="Z96" i="2"/>
  <c r="AA96" i="2"/>
  <c r="AB96" i="2"/>
  <c r="AC96" i="2"/>
  <c r="AD96" i="2"/>
  <c r="AE96" i="2"/>
  <c r="AF96" i="2"/>
  <c r="AG96" i="2"/>
  <c r="AH96" i="2"/>
  <c r="AI96" i="2"/>
  <c r="B97" i="2"/>
  <c r="A97" i="2" s="1"/>
  <c r="F97" i="2"/>
  <c r="G97" i="2"/>
  <c r="H97" i="2"/>
  <c r="I97" i="2"/>
  <c r="J97" i="2"/>
  <c r="K97" i="2"/>
  <c r="L97" i="2"/>
  <c r="M97" i="2"/>
  <c r="N97" i="2"/>
  <c r="O97" i="2"/>
  <c r="P97" i="2"/>
  <c r="Q97" i="2"/>
  <c r="R97" i="2"/>
  <c r="S97" i="2"/>
  <c r="T97" i="2"/>
  <c r="U97" i="2"/>
  <c r="V97" i="2"/>
  <c r="W97" i="2"/>
  <c r="X97" i="2"/>
  <c r="Y97" i="2"/>
  <c r="Z97" i="2"/>
  <c r="AA97" i="2"/>
  <c r="AB97" i="2"/>
  <c r="AC97" i="2"/>
  <c r="AD97" i="2"/>
  <c r="AE97" i="2"/>
  <c r="AF97" i="2"/>
  <c r="AG97" i="2"/>
  <c r="AH97" i="2"/>
  <c r="AI97" i="2"/>
  <c r="B98" i="2"/>
  <c r="A98" i="2" s="1"/>
  <c r="F98" i="2"/>
  <c r="G98" i="2"/>
  <c r="H98" i="2"/>
  <c r="I98" i="2"/>
  <c r="J98" i="2"/>
  <c r="K98" i="2"/>
  <c r="L98" i="2"/>
  <c r="M98" i="2"/>
  <c r="N98" i="2"/>
  <c r="O98" i="2"/>
  <c r="P98" i="2"/>
  <c r="Q98" i="2"/>
  <c r="R98" i="2"/>
  <c r="S98" i="2"/>
  <c r="T98" i="2"/>
  <c r="U98" i="2"/>
  <c r="V98" i="2"/>
  <c r="W98" i="2"/>
  <c r="X98" i="2"/>
  <c r="Y98" i="2"/>
  <c r="Z98" i="2"/>
  <c r="AA98" i="2"/>
  <c r="AB98" i="2"/>
  <c r="AC98" i="2"/>
  <c r="AD98" i="2"/>
  <c r="AE98" i="2"/>
  <c r="AF98" i="2"/>
  <c r="AG98" i="2"/>
  <c r="AH98" i="2"/>
  <c r="AI98" i="2"/>
  <c r="B99" i="2"/>
  <c r="A99" i="2" s="1"/>
  <c r="D99" i="2" s="1"/>
  <c r="F99" i="2"/>
  <c r="G99" i="2"/>
  <c r="H99" i="2"/>
  <c r="I99" i="2"/>
  <c r="J99" i="2"/>
  <c r="K99" i="2"/>
  <c r="L99" i="2"/>
  <c r="M99" i="2"/>
  <c r="N99" i="2"/>
  <c r="O99" i="2"/>
  <c r="P99" i="2"/>
  <c r="Q99" i="2"/>
  <c r="R99" i="2"/>
  <c r="S99" i="2"/>
  <c r="T99" i="2"/>
  <c r="U99" i="2"/>
  <c r="V99" i="2"/>
  <c r="W99" i="2"/>
  <c r="X99" i="2"/>
  <c r="Y99" i="2"/>
  <c r="Z99" i="2"/>
  <c r="AA99" i="2"/>
  <c r="AB99" i="2"/>
  <c r="AC99" i="2"/>
  <c r="AD99" i="2"/>
  <c r="AE99" i="2"/>
  <c r="AF99" i="2"/>
  <c r="AG99" i="2"/>
  <c r="AH99" i="2"/>
  <c r="AI99" i="2"/>
  <c r="B100" i="2"/>
  <c r="A100" i="2" s="1"/>
  <c r="C100" i="2" s="1"/>
  <c r="F100" i="2"/>
  <c r="G100" i="2"/>
  <c r="H100" i="2"/>
  <c r="I100" i="2"/>
  <c r="J100" i="2"/>
  <c r="K100" i="2"/>
  <c r="L100" i="2"/>
  <c r="M100" i="2"/>
  <c r="N100" i="2"/>
  <c r="O100" i="2"/>
  <c r="P100" i="2"/>
  <c r="Q100" i="2"/>
  <c r="R100" i="2"/>
  <c r="S100" i="2"/>
  <c r="T100" i="2"/>
  <c r="U100" i="2"/>
  <c r="V100" i="2"/>
  <c r="W100" i="2"/>
  <c r="X100" i="2"/>
  <c r="Y100" i="2"/>
  <c r="Z100" i="2"/>
  <c r="AA100" i="2"/>
  <c r="AB100" i="2"/>
  <c r="AC100" i="2"/>
  <c r="AD100" i="2"/>
  <c r="AE100" i="2"/>
  <c r="AF100" i="2"/>
  <c r="AG100" i="2"/>
  <c r="AH100" i="2"/>
  <c r="AI100" i="2"/>
  <c r="B101" i="2"/>
  <c r="A101" i="2" s="1"/>
  <c r="D101" i="2" s="1"/>
  <c r="F101" i="2"/>
  <c r="G101" i="2"/>
  <c r="H101" i="2"/>
  <c r="I101" i="2"/>
  <c r="J101" i="2"/>
  <c r="K101" i="2"/>
  <c r="L101" i="2"/>
  <c r="M101" i="2"/>
  <c r="N101" i="2"/>
  <c r="O101" i="2"/>
  <c r="P101" i="2"/>
  <c r="Q101" i="2"/>
  <c r="R101" i="2"/>
  <c r="S101" i="2"/>
  <c r="T101" i="2"/>
  <c r="U101" i="2"/>
  <c r="V101" i="2"/>
  <c r="W101" i="2"/>
  <c r="X101" i="2"/>
  <c r="Y101" i="2"/>
  <c r="Z101" i="2"/>
  <c r="AA101" i="2"/>
  <c r="AB101" i="2"/>
  <c r="AC101" i="2"/>
  <c r="AD101" i="2"/>
  <c r="AE101" i="2"/>
  <c r="AF101" i="2"/>
  <c r="AG101" i="2"/>
  <c r="AH101" i="2"/>
  <c r="AI101" i="2"/>
  <c r="B102" i="2"/>
  <c r="A102" i="2" s="1"/>
  <c r="C102" i="2" s="1"/>
  <c r="F102" i="2"/>
  <c r="G102" i="2"/>
  <c r="H102" i="2"/>
  <c r="I102" i="2"/>
  <c r="J102" i="2"/>
  <c r="K102" i="2"/>
  <c r="L102" i="2"/>
  <c r="M102" i="2"/>
  <c r="N102" i="2"/>
  <c r="O102" i="2"/>
  <c r="P102" i="2"/>
  <c r="Q102" i="2"/>
  <c r="R102" i="2"/>
  <c r="S102" i="2"/>
  <c r="T102" i="2"/>
  <c r="U102" i="2"/>
  <c r="V102" i="2"/>
  <c r="W102" i="2"/>
  <c r="X102" i="2"/>
  <c r="Y102" i="2"/>
  <c r="Z102" i="2"/>
  <c r="AA102" i="2"/>
  <c r="AB102" i="2"/>
  <c r="AC102" i="2"/>
  <c r="AD102" i="2"/>
  <c r="AE102" i="2"/>
  <c r="AF102" i="2"/>
  <c r="AG102" i="2"/>
  <c r="AH102" i="2"/>
  <c r="AI102" i="2"/>
  <c r="B103" i="2"/>
  <c r="A103" i="2" s="1"/>
  <c r="F103" i="2"/>
  <c r="G103" i="2"/>
  <c r="H103" i="2"/>
  <c r="I103" i="2"/>
  <c r="J103" i="2"/>
  <c r="K103" i="2"/>
  <c r="L103" i="2"/>
  <c r="M103" i="2"/>
  <c r="N103" i="2"/>
  <c r="O103" i="2"/>
  <c r="P103" i="2"/>
  <c r="Q103" i="2"/>
  <c r="R103" i="2"/>
  <c r="S103" i="2"/>
  <c r="T103" i="2"/>
  <c r="U103" i="2"/>
  <c r="V103" i="2"/>
  <c r="W103" i="2"/>
  <c r="X103" i="2"/>
  <c r="Y103" i="2"/>
  <c r="Z103" i="2"/>
  <c r="AA103" i="2"/>
  <c r="AB103" i="2"/>
  <c r="AC103" i="2"/>
  <c r="AD103" i="2"/>
  <c r="AE103" i="2"/>
  <c r="AF103" i="2"/>
  <c r="AG103" i="2"/>
  <c r="AH103" i="2"/>
  <c r="AI103" i="2"/>
  <c r="B104" i="2"/>
  <c r="A104" i="2" s="1"/>
  <c r="C104" i="2" s="1"/>
  <c r="F104" i="2"/>
  <c r="G104" i="2"/>
  <c r="H104" i="2"/>
  <c r="I104" i="2"/>
  <c r="J104" i="2"/>
  <c r="K104" i="2"/>
  <c r="L104" i="2"/>
  <c r="M104" i="2"/>
  <c r="N104" i="2"/>
  <c r="O104" i="2"/>
  <c r="P104" i="2"/>
  <c r="Q104" i="2"/>
  <c r="R104" i="2"/>
  <c r="S104" i="2"/>
  <c r="T104" i="2"/>
  <c r="U104" i="2"/>
  <c r="V104" i="2"/>
  <c r="W104" i="2"/>
  <c r="X104" i="2"/>
  <c r="Y104" i="2"/>
  <c r="Z104" i="2"/>
  <c r="AA104" i="2"/>
  <c r="AB104" i="2"/>
  <c r="AC104" i="2"/>
  <c r="AD104" i="2"/>
  <c r="AE104" i="2"/>
  <c r="AF104" i="2"/>
  <c r="AG104" i="2"/>
  <c r="AH104" i="2"/>
  <c r="AI104" i="2"/>
  <c r="B105" i="2"/>
  <c r="A105" i="2" s="1"/>
  <c r="F105" i="2"/>
  <c r="G105" i="2"/>
  <c r="H105" i="2"/>
  <c r="I105" i="2"/>
  <c r="J105" i="2"/>
  <c r="K105" i="2"/>
  <c r="L105" i="2"/>
  <c r="M105" i="2"/>
  <c r="N105" i="2"/>
  <c r="O105" i="2"/>
  <c r="P105" i="2"/>
  <c r="Q105" i="2"/>
  <c r="R105" i="2"/>
  <c r="S105" i="2"/>
  <c r="T105" i="2"/>
  <c r="U105" i="2"/>
  <c r="V105" i="2"/>
  <c r="W105" i="2"/>
  <c r="X105" i="2"/>
  <c r="Y105" i="2"/>
  <c r="Z105" i="2"/>
  <c r="AA105" i="2"/>
  <c r="AB105" i="2"/>
  <c r="AC105" i="2"/>
  <c r="AD105" i="2"/>
  <c r="AE105" i="2"/>
  <c r="AF105" i="2"/>
  <c r="AG105" i="2"/>
  <c r="AH105" i="2"/>
  <c r="AI105" i="2"/>
  <c r="B106" i="2"/>
  <c r="A106" i="2" s="1"/>
  <c r="C106" i="2" s="1"/>
  <c r="F106" i="2"/>
  <c r="G106" i="2"/>
  <c r="H106" i="2"/>
  <c r="I106" i="2"/>
  <c r="J106" i="2"/>
  <c r="K106" i="2"/>
  <c r="L106" i="2"/>
  <c r="M106" i="2"/>
  <c r="N106" i="2"/>
  <c r="O106" i="2"/>
  <c r="P106" i="2"/>
  <c r="Q106" i="2"/>
  <c r="R106" i="2"/>
  <c r="S106" i="2"/>
  <c r="T106" i="2"/>
  <c r="U106" i="2"/>
  <c r="V106" i="2"/>
  <c r="W106" i="2"/>
  <c r="X106" i="2"/>
  <c r="Y106" i="2"/>
  <c r="Z106" i="2"/>
  <c r="AA106" i="2"/>
  <c r="AB106" i="2"/>
  <c r="AC106" i="2"/>
  <c r="AD106" i="2"/>
  <c r="AE106" i="2"/>
  <c r="AF106" i="2"/>
  <c r="AG106" i="2"/>
  <c r="AH106" i="2"/>
  <c r="AI106" i="2"/>
  <c r="B107" i="2"/>
  <c r="A107" i="2" s="1"/>
  <c r="F107" i="2"/>
  <c r="G107" i="2"/>
  <c r="H107" i="2"/>
  <c r="I107" i="2"/>
  <c r="J107" i="2"/>
  <c r="K107" i="2"/>
  <c r="L107" i="2"/>
  <c r="M107" i="2"/>
  <c r="N107" i="2"/>
  <c r="O107" i="2"/>
  <c r="P107" i="2"/>
  <c r="Q107" i="2"/>
  <c r="R107" i="2"/>
  <c r="S107" i="2"/>
  <c r="T107" i="2"/>
  <c r="U107" i="2"/>
  <c r="V107" i="2"/>
  <c r="W107" i="2"/>
  <c r="X107" i="2"/>
  <c r="Y107" i="2"/>
  <c r="Z107" i="2"/>
  <c r="AA107" i="2"/>
  <c r="AB107" i="2"/>
  <c r="AC107" i="2"/>
  <c r="AD107" i="2"/>
  <c r="AE107" i="2"/>
  <c r="AF107" i="2"/>
  <c r="AG107" i="2"/>
  <c r="AH107" i="2"/>
  <c r="AI107" i="2"/>
  <c r="B108" i="2"/>
  <c r="A108" i="2" s="1"/>
  <c r="C108" i="2" s="1"/>
  <c r="F108" i="2"/>
  <c r="G108" i="2"/>
  <c r="H108" i="2"/>
  <c r="I108" i="2"/>
  <c r="J108" i="2"/>
  <c r="K108" i="2"/>
  <c r="L108" i="2"/>
  <c r="M108" i="2"/>
  <c r="N108" i="2"/>
  <c r="O108" i="2"/>
  <c r="P108" i="2"/>
  <c r="Q108" i="2"/>
  <c r="R108" i="2"/>
  <c r="S108" i="2"/>
  <c r="T108" i="2"/>
  <c r="U108" i="2"/>
  <c r="V108" i="2"/>
  <c r="W108" i="2"/>
  <c r="X108" i="2"/>
  <c r="Y108" i="2"/>
  <c r="Z108" i="2"/>
  <c r="AA108" i="2"/>
  <c r="AB108" i="2"/>
  <c r="AC108" i="2"/>
  <c r="AD108" i="2"/>
  <c r="AE108" i="2"/>
  <c r="AF108" i="2"/>
  <c r="AG108" i="2"/>
  <c r="AH108" i="2"/>
  <c r="AI108" i="2"/>
  <c r="B109" i="2"/>
  <c r="A109" i="2" s="1"/>
  <c r="D109" i="2" s="1"/>
  <c r="F109" i="2"/>
  <c r="G109" i="2"/>
  <c r="H109" i="2"/>
  <c r="I109" i="2"/>
  <c r="J109" i="2"/>
  <c r="K109" i="2"/>
  <c r="L109" i="2"/>
  <c r="M109" i="2"/>
  <c r="N109" i="2"/>
  <c r="O109" i="2"/>
  <c r="P109" i="2"/>
  <c r="Q109" i="2"/>
  <c r="R109" i="2"/>
  <c r="S109" i="2"/>
  <c r="T109" i="2"/>
  <c r="U109" i="2"/>
  <c r="V109" i="2"/>
  <c r="W109" i="2"/>
  <c r="X109" i="2"/>
  <c r="Y109" i="2"/>
  <c r="Z109" i="2"/>
  <c r="AA109" i="2"/>
  <c r="AB109" i="2"/>
  <c r="AC109" i="2"/>
  <c r="AD109" i="2"/>
  <c r="AE109" i="2"/>
  <c r="AF109" i="2"/>
  <c r="AG109" i="2"/>
  <c r="AH109" i="2"/>
  <c r="AI109" i="2"/>
  <c r="B110" i="2"/>
  <c r="A110" i="2" s="1"/>
  <c r="C110" i="2" s="1"/>
  <c r="D110" i="2"/>
  <c r="F110" i="2"/>
  <c r="G110" i="2"/>
  <c r="H110" i="2"/>
  <c r="I110" i="2"/>
  <c r="J110" i="2"/>
  <c r="K110" i="2"/>
  <c r="L110" i="2"/>
  <c r="M110" i="2"/>
  <c r="N110" i="2"/>
  <c r="O110" i="2"/>
  <c r="P110" i="2"/>
  <c r="Q110" i="2"/>
  <c r="R110" i="2"/>
  <c r="S110" i="2"/>
  <c r="T110" i="2"/>
  <c r="U110" i="2"/>
  <c r="V110" i="2"/>
  <c r="W110" i="2"/>
  <c r="X110" i="2"/>
  <c r="Y110" i="2"/>
  <c r="Z110" i="2"/>
  <c r="AA110" i="2"/>
  <c r="AB110" i="2"/>
  <c r="AC110" i="2"/>
  <c r="AD110" i="2"/>
  <c r="AE110" i="2"/>
  <c r="AF110" i="2"/>
  <c r="AG110" i="2"/>
  <c r="AH110" i="2"/>
  <c r="AI110" i="2"/>
  <c r="B111" i="2"/>
  <c r="A111" i="2" s="1"/>
  <c r="F111" i="2"/>
  <c r="G111" i="2"/>
  <c r="H111" i="2"/>
  <c r="I111" i="2"/>
  <c r="J111" i="2"/>
  <c r="K111" i="2"/>
  <c r="L111" i="2"/>
  <c r="M111" i="2"/>
  <c r="N111" i="2"/>
  <c r="O111" i="2"/>
  <c r="P111" i="2"/>
  <c r="Q111" i="2"/>
  <c r="R111" i="2"/>
  <c r="S111" i="2"/>
  <c r="T111" i="2"/>
  <c r="U111" i="2"/>
  <c r="V111" i="2"/>
  <c r="W111" i="2"/>
  <c r="X111" i="2"/>
  <c r="Y111" i="2"/>
  <c r="Z111" i="2"/>
  <c r="AA111" i="2"/>
  <c r="AB111" i="2"/>
  <c r="AC111" i="2"/>
  <c r="AD111" i="2"/>
  <c r="AE111" i="2"/>
  <c r="AF111" i="2"/>
  <c r="AG111" i="2"/>
  <c r="AH111" i="2"/>
  <c r="AI111" i="2"/>
  <c r="C6" i="2" l="1"/>
  <c r="D76" i="2"/>
  <c r="D92" i="2"/>
  <c r="C39" i="2"/>
  <c r="C35" i="2"/>
  <c r="C31" i="2"/>
  <c r="C43" i="2"/>
  <c r="C45" i="2"/>
  <c r="C41" i="2"/>
  <c r="C37" i="2"/>
  <c r="C33" i="2"/>
  <c r="D67" i="2"/>
  <c r="C67" i="2"/>
  <c r="D61" i="2"/>
  <c r="C61" i="2"/>
  <c r="C62" i="2"/>
  <c r="C50" i="2"/>
  <c r="D43" i="2"/>
  <c r="D41" i="2"/>
  <c r="D39" i="2"/>
  <c r="D102" i="2"/>
  <c r="C101" i="2"/>
  <c r="D100" i="2"/>
  <c r="D84" i="2"/>
  <c r="D68" i="2"/>
  <c r="C46" i="2"/>
  <c r="C44" i="2"/>
  <c r="C42" i="2"/>
  <c r="C40" i="2"/>
  <c r="C38" i="2"/>
  <c r="C36" i="2"/>
  <c r="C34" i="2"/>
  <c r="C32" i="2"/>
  <c r="C30" i="2"/>
  <c r="C28" i="2"/>
  <c r="C26" i="2"/>
  <c r="C24" i="2"/>
  <c r="C22" i="2"/>
  <c r="C20" i="2"/>
  <c r="C18" i="2"/>
  <c r="C16" i="2"/>
  <c r="C14" i="2"/>
  <c r="C12" i="2"/>
  <c r="C10" i="2"/>
  <c r="C8" i="2"/>
  <c r="C58" i="2"/>
  <c r="C54" i="2"/>
  <c r="D45" i="2"/>
  <c r="D37" i="2"/>
  <c r="D35" i="2"/>
  <c r="D33" i="2"/>
  <c r="D31" i="2"/>
  <c r="D53" i="2"/>
  <c r="C53" i="2"/>
  <c r="D21" i="2"/>
  <c r="C21" i="2"/>
  <c r="D13" i="2"/>
  <c r="C13" i="2"/>
  <c r="D54" i="2"/>
  <c r="D22" i="2"/>
  <c r="D6" i="2"/>
  <c r="D5" i="2"/>
  <c r="C5" i="2"/>
  <c r="C4" i="2"/>
  <c r="D62" i="2"/>
  <c r="D14" i="2"/>
  <c r="D105" i="2"/>
  <c r="C105" i="2"/>
  <c r="D17" i="2"/>
  <c r="C17" i="2"/>
  <c r="D95" i="2"/>
  <c r="C95" i="2"/>
  <c r="D87" i="2"/>
  <c r="C87" i="2"/>
  <c r="D79" i="2"/>
  <c r="C79" i="2"/>
  <c r="D71" i="2"/>
  <c r="C71" i="2"/>
  <c r="D57" i="2"/>
  <c r="C57" i="2"/>
  <c r="D25" i="2"/>
  <c r="C25" i="2"/>
  <c r="D9" i="2"/>
  <c r="C9" i="2"/>
  <c r="C109" i="2"/>
  <c r="C99" i="2"/>
  <c r="C91" i="2"/>
  <c r="C83" i="2"/>
  <c r="C75" i="2"/>
  <c r="D106" i="2"/>
  <c r="D96" i="2"/>
  <c r="D88" i="2"/>
  <c r="D80" i="2"/>
  <c r="D72" i="2"/>
  <c r="D58" i="2"/>
  <c r="D50" i="2"/>
  <c r="D26" i="2"/>
  <c r="D18" i="2"/>
  <c r="D10" i="2"/>
  <c r="D107" i="2"/>
  <c r="C107" i="2"/>
  <c r="D111" i="2"/>
  <c r="C111" i="2"/>
  <c r="D103" i="2"/>
  <c r="C103" i="2"/>
  <c r="E110" i="2"/>
  <c r="E109" i="2"/>
  <c r="E106" i="2"/>
  <c r="E105" i="2"/>
  <c r="E102" i="2"/>
  <c r="E101" i="2"/>
  <c r="E100" i="2"/>
  <c r="E99" i="2"/>
  <c r="D97" i="2"/>
  <c r="C97" i="2"/>
  <c r="C94" i="2"/>
  <c r="D94" i="2"/>
  <c r="E92" i="2"/>
  <c r="E91" i="2"/>
  <c r="D89" i="2"/>
  <c r="C89" i="2"/>
  <c r="C86" i="2"/>
  <c r="D86" i="2"/>
  <c r="E84" i="2"/>
  <c r="E83" i="2"/>
  <c r="D81" i="2"/>
  <c r="C81" i="2"/>
  <c r="C78" i="2"/>
  <c r="D78" i="2"/>
  <c r="E76" i="2"/>
  <c r="E75" i="2"/>
  <c r="D73" i="2"/>
  <c r="C73" i="2"/>
  <c r="C70" i="2"/>
  <c r="D70" i="2"/>
  <c r="E68" i="2"/>
  <c r="E67" i="2"/>
  <c r="C64" i="2"/>
  <c r="D64" i="2"/>
  <c r="E62" i="2"/>
  <c r="E61" i="2"/>
  <c r="D59" i="2"/>
  <c r="C59" i="2"/>
  <c r="C56" i="2"/>
  <c r="D56" i="2"/>
  <c r="E54" i="2"/>
  <c r="E53" i="2"/>
  <c r="D51" i="2"/>
  <c r="C51" i="2"/>
  <c r="D27" i="2"/>
  <c r="C27" i="2"/>
  <c r="D19" i="2"/>
  <c r="C19" i="2"/>
  <c r="D11" i="2"/>
  <c r="C11" i="2"/>
  <c r="E111" i="2"/>
  <c r="E108" i="2"/>
  <c r="D108" i="2"/>
  <c r="E107" i="2"/>
  <c r="E104" i="2"/>
  <c r="D104" i="2"/>
  <c r="E103" i="2"/>
  <c r="C98" i="2"/>
  <c r="D98" i="2"/>
  <c r="E96" i="2"/>
  <c r="E95" i="2"/>
  <c r="D93" i="2"/>
  <c r="C93" i="2"/>
  <c r="C90" i="2"/>
  <c r="D90" i="2"/>
  <c r="E88" i="2"/>
  <c r="E87" i="2"/>
  <c r="D85" i="2"/>
  <c r="C85" i="2"/>
  <c r="C82" i="2"/>
  <c r="D82" i="2"/>
  <c r="E80" i="2"/>
  <c r="E79" i="2"/>
  <c r="D77" i="2"/>
  <c r="C77" i="2"/>
  <c r="C74" i="2"/>
  <c r="D74" i="2"/>
  <c r="E72" i="2"/>
  <c r="E71" i="2"/>
  <c r="D69" i="2"/>
  <c r="C69" i="2"/>
  <c r="C66" i="2"/>
  <c r="D66" i="2"/>
  <c r="D63" i="2"/>
  <c r="C63" i="2"/>
  <c r="C60" i="2"/>
  <c r="D60" i="2"/>
  <c r="E58" i="2"/>
  <c r="E57" i="2"/>
  <c r="D55" i="2"/>
  <c r="C55" i="2"/>
  <c r="C52" i="2"/>
  <c r="D52" i="2"/>
  <c r="E50" i="2"/>
  <c r="D49" i="2"/>
  <c r="C49" i="2"/>
  <c r="D48" i="2"/>
  <c r="C48" i="2"/>
  <c r="D23" i="2"/>
  <c r="C23" i="2"/>
  <c r="D15" i="2"/>
  <c r="C15" i="2"/>
  <c r="D7" i="2"/>
  <c r="C7" i="2"/>
  <c r="E98" i="2"/>
  <c r="E97" i="2"/>
  <c r="E94" i="2"/>
  <c r="E93" i="2"/>
  <c r="E90" i="2"/>
  <c r="E89" i="2"/>
  <c r="E86" i="2"/>
  <c r="E85" i="2"/>
  <c r="E82" i="2"/>
  <c r="E81" i="2"/>
  <c r="E78" i="2"/>
  <c r="E77" i="2"/>
  <c r="E74" i="2"/>
  <c r="E73" i="2"/>
  <c r="E70" i="2"/>
  <c r="E69" i="2"/>
  <c r="E66" i="2"/>
  <c r="C65" i="2"/>
  <c r="E64" i="2"/>
  <c r="E63" i="2"/>
  <c r="E60" i="2"/>
  <c r="E59" i="2"/>
  <c r="E56" i="2"/>
  <c r="E55" i="2"/>
  <c r="E52" i="2"/>
  <c r="E51" i="2"/>
  <c r="E47" i="2"/>
  <c r="E45" i="2"/>
  <c r="E43" i="2"/>
  <c r="E41" i="2"/>
  <c r="E39" i="2"/>
  <c r="E37" i="2"/>
  <c r="E35" i="2"/>
  <c r="E33" i="2"/>
  <c r="E31" i="2"/>
  <c r="E26" i="2"/>
  <c r="E25" i="2"/>
  <c r="E22" i="2"/>
  <c r="E21" i="2"/>
  <c r="E18" i="2"/>
  <c r="E17" i="2"/>
  <c r="E14" i="2"/>
  <c r="E13" i="2"/>
  <c r="E10" i="2"/>
  <c r="E9" i="2"/>
  <c r="E6" i="2"/>
  <c r="E5" i="2"/>
  <c r="E48" i="2"/>
  <c r="E46" i="2"/>
  <c r="E28" i="2"/>
  <c r="D28" i="2"/>
  <c r="E27" i="2"/>
  <c r="E24" i="2"/>
  <c r="D24" i="2"/>
  <c r="E23" i="2"/>
  <c r="E20" i="2"/>
  <c r="D20" i="2"/>
  <c r="E19" i="2"/>
  <c r="E16" i="2"/>
  <c r="D16" i="2"/>
  <c r="E15" i="2"/>
  <c r="E12" i="2"/>
  <c r="D12" i="2"/>
  <c r="E11" i="2"/>
  <c r="E8" i="2"/>
  <c r="D8" i="2"/>
  <c r="E7" i="2"/>
  <c r="E4" i="2"/>
  <c r="D4" i="2"/>
  <c r="E65" i="2"/>
  <c r="E49" i="2"/>
  <c r="D65" i="2"/>
  <c r="C47" i="2"/>
  <c r="D47" i="2"/>
  <c r="D46" i="2"/>
  <c r="E44" i="2"/>
  <c r="D44" i="2"/>
  <c r="E42" i="2"/>
  <c r="D42" i="2"/>
  <c r="E40" i="2"/>
  <c r="D40" i="2"/>
  <c r="E38" i="2"/>
  <c r="D38" i="2"/>
  <c r="E36" i="2"/>
  <c r="D36" i="2"/>
  <c r="E34" i="2"/>
  <c r="D34" i="2"/>
  <c r="E32" i="2"/>
  <c r="D32" i="2"/>
  <c r="E30" i="2"/>
  <c r="D30" i="2"/>
  <c r="I3" i="3"/>
  <c r="C2" i="3"/>
</calcChain>
</file>

<file path=xl/sharedStrings.xml><?xml version="1.0" encoding="utf-8"?>
<sst xmlns="http://schemas.openxmlformats.org/spreadsheetml/2006/main" count="274" uniqueCount="274">
  <si>
    <t>■EMAIL</t>
  </si>
  <si>
    <t>■氏名</t>
  </si>
  <si>
    <t>■しめい</t>
  </si>
  <si>
    <t>■お子様について</t>
  </si>
  <si>
    <t>■お子様が最近頑張ったこと</t>
  </si>
  <si>
    <t>■お子様にこれから頑張ってほしいこと</t>
  </si>
  <si>
    <t>■携帯メールアドレス</t>
  </si>
  <si>
    <t>■携帯電話番号</t>
  </si>
  <si>
    <t>■郵便番号</t>
  </si>
  <si>
    <t>■都道府県</t>
  </si>
  <si>
    <t>■市区町村・番地</t>
  </si>
  <si>
    <t>■当日のお届け先住所が同じか</t>
  </si>
  <si>
    <t>■(当日異なる場合の)郵便番号</t>
  </si>
  <si>
    <t>■(当日異なる場合の)都道府県</t>
  </si>
  <si>
    <t>■(当日異なる場合の)市区町村・番地</t>
  </si>
  <si>
    <t>■お届け先の表札名</t>
  </si>
  <si>
    <t>■お届け先の特徴</t>
  </si>
  <si>
    <t>■希望の連絡方法</t>
  </si>
  <si>
    <t>■第１お届け希望時間</t>
  </si>
  <si>
    <t>■第２お届け希望時間</t>
  </si>
  <si>
    <t>■プレゼントの大きさ</t>
  </si>
  <si>
    <t>■希望サンタの性別</t>
  </si>
  <si>
    <t>■過去のチャリティーサンタの応募回数</t>
  </si>
  <si>
    <t>■応募のきっかけ</t>
  </si>
  <si>
    <t>■ボランティアサンタへのメッセージ</t>
  </si>
  <si>
    <t>■備考</t>
  </si>
  <si>
    <t>Mail本文を↓方向に貼り付け</t>
    <rPh sb="4" eb="6">
      <t>ホンブン</t>
    </rPh>
    <rPh sb="8" eb="10">
      <t>ホウコウ</t>
    </rPh>
    <rPh sb="11" eb="12">
      <t>ハ</t>
    </rPh>
    <rPh sb="13" eb="14">
      <t>ツ</t>
    </rPh>
    <phoneticPr fontId="1"/>
  </si>
  <si>
    <t>■チャリティーへの同意</t>
    <phoneticPr fontId="1"/>
  </si>
  <si>
    <t>件目</t>
    <rPh sb="0" eb="1">
      <t>ケン</t>
    </rPh>
    <rPh sb="1" eb="2">
      <t>メ</t>
    </rPh>
    <phoneticPr fontId="1"/>
  </si>
  <si>
    <t>replace_id</t>
    <phoneticPr fontId="1"/>
  </si>
  <si>
    <t>replace_name</t>
    <phoneticPr fontId="1"/>
  </si>
  <si>
    <t>住所</t>
    <rPh sb="0" eb="2">
      <t>ジュウショ</t>
    </rPh>
    <phoneticPr fontId="1"/>
  </si>
  <si>
    <t>replace_address</t>
    <phoneticPr fontId="1"/>
  </si>
  <si>
    <t>郵便番号</t>
    <rPh sb="0" eb="4">
      <t>ユウビンバンゴウ</t>
    </rPh>
    <phoneticPr fontId="1"/>
  </si>
  <si>
    <t>replace_postalcode</t>
    <phoneticPr fontId="1"/>
  </si>
  <si>
    <t>名前</t>
    <rPh sb="0" eb="2">
      <t>ナマエ</t>
    </rPh>
    <phoneticPr fontId="1"/>
  </si>
  <si>
    <t>replace_route</t>
  </si>
  <si>
    <t>replace_mobile_mail</t>
  </si>
  <si>
    <t>replace_pc_mail</t>
  </si>
  <si>
    <t>replace_mobile_phone</t>
    <phoneticPr fontId="1"/>
  </si>
  <si>
    <t>replace_contact</t>
  </si>
  <si>
    <t>replace_time1</t>
  </si>
  <si>
    <t>replace_time2</t>
    <phoneticPr fontId="1"/>
  </si>
  <si>
    <t>ID</t>
    <phoneticPr fontId="1"/>
  </si>
  <si>
    <t>replace_number</t>
    <phoneticPr fontId="1"/>
  </si>
  <si>
    <t>replace_size</t>
    <phoneticPr fontId="1"/>
  </si>
  <si>
    <t>replace_nameplate</t>
    <phoneticPr fontId="1"/>
  </si>
  <si>
    <t>replace_santa_message</t>
    <phoneticPr fontId="1"/>
  </si>
  <si>
    <t>replace_children_name</t>
    <phoneticPr fontId="1"/>
  </si>
  <si>
    <t>replace_praise_message</t>
    <phoneticPr fontId="1"/>
  </si>
  <si>
    <t>replace_hope_message</t>
    <phoneticPr fontId="1"/>
  </si>
  <si>
    <t>replace_remark</t>
    <phoneticPr fontId="1"/>
  </si>
  <si>
    <t>A</t>
  </si>
  <si>
    <t>ZQf4</t>
  </si>
  <si>
    <t>B</t>
  </si>
  <si>
    <t>75O4</t>
  </si>
  <si>
    <t>C</t>
  </si>
  <si>
    <t>YfuZ</t>
  </si>
  <si>
    <t>D</t>
  </si>
  <si>
    <t>N5O0</t>
  </si>
  <si>
    <t>E</t>
  </si>
  <si>
    <t>Qd71</t>
  </si>
  <si>
    <t>F</t>
  </si>
  <si>
    <t>6I8h</t>
  </si>
  <si>
    <t>G</t>
  </si>
  <si>
    <t>XqZi</t>
  </si>
  <si>
    <t>H</t>
  </si>
  <si>
    <t>3123</t>
  </si>
  <si>
    <t>I</t>
  </si>
  <si>
    <t>Kv74</t>
  </si>
  <si>
    <t>J</t>
  </si>
  <si>
    <t>rMwf</t>
  </si>
  <si>
    <t>K</t>
  </si>
  <si>
    <t>b06m</t>
  </si>
  <si>
    <t>L</t>
  </si>
  <si>
    <t>VksT</t>
  </si>
  <si>
    <t>M</t>
  </si>
  <si>
    <t>b16v</t>
  </si>
  <si>
    <t>N</t>
  </si>
  <si>
    <t>P58T</t>
  </si>
  <si>
    <t>O</t>
  </si>
  <si>
    <t>T84H</t>
  </si>
  <si>
    <t>P</t>
  </si>
  <si>
    <t>t6SD</t>
  </si>
  <si>
    <t>Q</t>
  </si>
  <si>
    <t>juYh</t>
  </si>
  <si>
    <t>R</t>
  </si>
  <si>
    <t>143X</t>
  </si>
  <si>
    <t>S</t>
  </si>
  <si>
    <t>69FC</t>
  </si>
  <si>
    <t>T</t>
  </si>
  <si>
    <t>ToDi</t>
  </si>
  <si>
    <t>U</t>
  </si>
  <si>
    <t>bHph</t>
  </si>
  <si>
    <t>V</t>
  </si>
  <si>
    <t>hCA3</t>
  </si>
  <si>
    <t>W</t>
  </si>
  <si>
    <t>Y7Yh</t>
  </si>
  <si>
    <t>X</t>
  </si>
  <si>
    <t>3uQq</t>
  </si>
  <si>
    <t>Y</t>
  </si>
  <si>
    <t>8JEW</t>
  </si>
  <si>
    <t>Z</t>
  </si>
  <si>
    <t>54Ux</t>
  </si>
  <si>
    <t>a</t>
  </si>
  <si>
    <t>oLko</t>
  </si>
  <si>
    <t>b</t>
  </si>
  <si>
    <t>6f2v</t>
  </si>
  <si>
    <t>c</t>
  </si>
  <si>
    <t>vI8r</t>
  </si>
  <si>
    <t>d</t>
  </si>
  <si>
    <t>0d5i</t>
  </si>
  <si>
    <t>e</t>
  </si>
  <si>
    <t>1k8i</t>
  </si>
  <si>
    <t>f</t>
  </si>
  <si>
    <t>M2wR</t>
  </si>
  <si>
    <t>g</t>
  </si>
  <si>
    <t>dhRH</t>
  </si>
  <si>
    <t>h</t>
  </si>
  <si>
    <t>0I30</t>
  </si>
  <si>
    <t>i</t>
  </si>
  <si>
    <t>Qr38</t>
  </si>
  <si>
    <t>j</t>
  </si>
  <si>
    <t>4mzP</t>
  </si>
  <si>
    <t>k</t>
  </si>
  <si>
    <t>vxoA</t>
  </si>
  <si>
    <t>l</t>
  </si>
  <si>
    <t>ue1F</t>
  </si>
  <si>
    <t>m</t>
  </si>
  <si>
    <t>hCF6</t>
  </si>
  <si>
    <t>n</t>
  </si>
  <si>
    <t>uC5t</t>
  </si>
  <si>
    <t>o</t>
  </si>
  <si>
    <t>6XvW</t>
  </si>
  <si>
    <t>p</t>
  </si>
  <si>
    <t>RG16</t>
  </si>
  <si>
    <t>q</t>
  </si>
  <si>
    <t>J92O</t>
  </si>
  <si>
    <t>r</t>
  </si>
  <si>
    <t>2b5S</t>
  </si>
  <si>
    <t>s</t>
  </si>
  <si>
    <t>QC6R</t>
  </si>
  <si>
    <t>t</t>
  </si>
  <si>
    <t>uis9</t>
  </si>
  <si>
    <t>u</t>
  </si>
  <si>
    <t>36oH</t>
  </si>
  <si>
    <t>v</t>
  </si>
  <si>
    <t>6tfE</t>
  </si>
  <si>
    <t>w</t>
  </si>
  <si>
    <t>4gyq</t>
  </si>
  <si>
    <t>x</t>
  </si>
  <si>
    <t>V7x3</t>
  </si>
  <si>
    <t>y</t>
  </si>
  <si>
    <t>1ShX</t>
  </si>
  <si>
    <t>z</t>
  </si>
  <si>
    <t>o98n</t>
  </si>
  <si>
    <t>01</t>
    <phoneticPr fontId="4"/>
  </si>
  <si>
    <t>A918</t>
  </si>
  <si>
    <t>02</t>
    <phoneticPr fontId="4"/>
  </si>
  <si>
    <t>UR0L</t>
  </si>
  <si>
    <t>03</t>
    <phoneticPr fontId="4"/>
  </si>
  <si>
    <t>GtNz</t>
  </si>
  <si>
    <t>04</t>
    <phoneticPr fontId="4"/>
  </si>
  <si>
    <t>9765</t>
  </si>
  <si>
    <t>05</t>
    <phoneticPr fontId="4"/>
  </si>
  <si>
    <t>4bLq</t>
  </si>
  <si>
    <t>06</t>
    <phoneticPr fontId="4"/>
  </si>
  <si>
    <t>9BO8</t>
  </si>
  <si>
    <t>07</t>
    <phoneticPr fontId="4"/>
  </si>
  <si>
    <t>MCyS</t>
  </si>
  <si>
    <t>08</t>
    <phoneticPr fontId="4"/>
  </si>
  <si>
    <t>4J2t</t>
  </si>
  <si>
    <t>09</t>
    <phoneticPr fontId="4"/>
  </si>
  <si>
    <t>H7i5</t>
  </si>
  <si>
    <t>zLni</t>
  </si>
  <si>
    <t>JT5C</t>
  </si>
  <si>
    <t>7Oqx</t>
  </si>
  <si>
    <t>FMpw</t>
  </si>
  <si>
    <t>kj0x</t>
  </si>
  <si>
    <t>5O9C</t>
  </si>
  <si>
    <t>5atD</t>
  </si>
  <si>
    <t>u387</t>
  </si>
  <si>
    <t>5NQY</t>
  </si>
  <si>
    <t>52b3</t>
  </si>
  <si>
    <t>oV2M</t>
  </si>
  <si>
    <t>FjaK</t>
  </si>
  <si>
    <t>6H0N</t>
  </si>
  <si>
    <t>pBwM</t>
  </si>
  <si>
    <t>069Y</t>
  </si>
  <si>
    <t>8swV</t>
  </si>
  <si>
    <t>97HX</t>
  </si>
  <si>
    <t>X1wT</t>
  </si>
  <si>
    <t>drsz</t>
  </si>
  <si>
    <t>33R7</t>
  </si>
  <si>
    <t>dk5w</t>
  </si>
  <si>
    <t>iAI4</t>
  </si>
  <si>
    <t>n3ao</t>
  </si>
  <si>
    <t>5E0R</t>
  </si>
  <si>
    <t>W85z</t>
  </si>
  <si>
    <t>17De</t>
  </si>
  <si>
    <t>GdPs</t>
  </si>
  <si>
    <t>7QfQ</t>
  </si>
  <si>
    <t>OmG4</t>
  </si>
  <si>
    <t>U3nk</t>
  </si>
  <si>
    <t>pF9o</t>
  </si>
  <si>
    <t>U0FC</t>
  </si>
  <si>
    <t>JM5K</t>
  </si>
  <si>
    <t>6702</t>
  </si>
  <si>
    <t>sHPF</t>
  </si>
  <si>
    <t>97W1</t>
  </si>
  <si>
    <t>s939</t>
  </si>
  <si>
    <t>R8nK</t>
  </si>
  <si>
    <t>G2y0</t>
  </si>
  <si>
    <t>s58X</t>
  </si>
  <si>
    <t>nyke</t>
  </si>
  <si>
    <t>h4nK</t>
  </si>
  <si>
    <t>rf23</t>
  </si>
  <si>
    <t>78v1</t>
  </si>
  <si>
    <t>j4aR</t>
  </si>
  <si>
    <t>f1lF</t>
  </si>
  <si>
    <t>7g8g</t>
  </si>
  <si>
    <t>J6Ej</t>
  </si>
  <si>
    <t>D2a9</t>
  </si>
  <si>
    <t>Mo98</t>
  </si>
  <si>
    <t>FU43</t>
  </si>
  <si>
    <t>RDCz</t>
  </si>
  <si>
    <t>19Qr</t>
  </si>
  <si>
    <t>FPjn</t>
  </si>
  <si>
    <t>99he</t>
  </si>
  <si>
    <t>0k8N</t>
  </si>
  <si>
    <t>N97q</t>
  </si>
  <si>
    <t>mK51</t>
  </si>
  <si>
    <t>Yhe7</t>
  </si>
  <si>
    <t>lldE</t>
  </si>
  <si>
    <t>1G2H</t>
  </si>
  <si>
    <t>6XW2</t>
  </si>
  <si>
    <t>6TzK</t>
  </si>
  <si>
    <t>s08P</t>
  </si>
  <si>
    <t>8MW1</t>
  </si>
  <si>
    <t>Lbu0</t>
  </si>
  <si>
    <t>a35I</t>
  </si>
  <si>
    <t>iDQe</t>
  </si>
  <si>
    <t>4226</t>
  </si>
  <si>
    <t>3o9p</t>
  </si>
  <si>
    <t>16Vn</t>
  </si>
  <si>
    <t>c94d</t>
  </si>
  <si>
    <t>R89R</t>
  </si>
  <si>
    <t>Tv5X</t>
  </si>
  <si>
    <t>8KF2</t>
  </si>
  <si>
    <t>H7X3</t>
  </si>
  <si>
    <t>z6EH</t>
  </si>
  <si>
    <t>0n3E</t>
  </si>
  <si>
    <t>3xiG</t>
  </si>
  <si>
    <t>B1uu</t>
  </si>
  <si>
    <t>Jqql</t>
  </si>
  <si>
    <t>E3p7</t>
  </si>
  <si>
    <t>O1Qn</t>
  </si>
  <si>
    <t>3b77</t>
  </si>
  <si>
    <t>0N37</t>
  </si>
  <si>
    <t>ijpi</t>
  </si>
  <si>
    <t>0iD5</t>
  </si>
  <si>
    <t>tC7R</t>
  </si>
  <si>
    <t>i1Ep</t>
  </si>
  <si>
    <t>9zd3</t>
  </si>
  <si>
    <t>00</t>
    <phoneticPr fontId="4"/>
  </si>
  <si>
    <t>tkY3</t>
  </si>
  <si>
    <t>※Wordファイルを作成したIDについては、背景色を変更して非表示にします。Wordファイルは表示されているデータに対して作成されるので再表示した場合に非表示に戻し忘れないように注意してください</t>
    <rPh sb="10" eb="12">
      <t>サクセイ</t>
    </rPh>
    <rPh sb="22" eb="25">
      <t>ハイケイショク</t>
    </rPh>
    <rPh sb="26" eb="28">
      <t>ヘンコウ</t>
    </rPh>
    <rPh sb="30" eb="33">
      <t>ヒヒョウジ</t>
    </rPh>
    <rPh sb="47" eb="49">
      <t>ヒョウジ</t>
    </rPh>
    <rPh sb="58" eb="59">
      <t>タイ</t>
    </rPh>
    <rPh sb="61" eb="63">
      <t>サクセイ</t>
    </rPh>
    <rPh sb="68" eb="71">
      <t>サイヒョウジ</t>
    </rPh>
    <rPh sb="73" eb="75">
      <t>バアイ</t>
    </rPh>
    <rPh sb="76" eb="79">
      <t>ヒヒョウジ</t>
    </rPh>
    <rPh sb="80" eb="81">
      <t>モド</t>
    </rPh>
    <rPh sb="82" eb="83">
      <t>ワス</t>
    </rPh>
    <rPh sb="89" eb="91">
      <t>チュウイ</t>
    </rPh>
    <phoneticPr fontId="1"/>
  </si>
  <si>
    <t>■フリガナ</t>
    <phoneticPr fontId="1"/>
  </si>
  <si>
    <t>■訪問サンタの希望</t>
    <rPh sb="1" eb="3">
      <t>ホウモン</t>
    </rPh>
    <rPh sb="7" eb="9">
      <t>キボウ</t>
    </rPh>
    <phoneticPr fontId="1"/>
  </si>
  <si>
    <t>キャンセル</t>
    <phoneticPr fontId="1"/>
  </si>
  <si>
    <t>■建物名</t>
    <rPh sb="1" eb="3">
      <t>タテモノ</t>
    </rPh>
    <rPh sb="3" eb="4">
      <t>メイ</t>
    </rPh>
    <phoneticPr fontId="1"/>
  </si>
  <si>
    <t xml:space="preserve">
To yokohama 
1件目 サンタを呼ぶに申し込みがありました。
 申込み内容は以下のとおりです。
……………………………………………………………………………………………
■EMAIL
santa@docomo.ne.jp
 ■氏名
 三田黒酢
■フリガナ
 サンタ クロス
■お子様について
(1人目) 名前「留弗夫」フリガナ「ルドルフ」年齢「7歳」性別「男」 性格「恥ずかしがり屋。遊びでは元気ですが人前に立つと声が小さい。サンタさんはいないと思いはじめています。」
(2人目) 名前「天使」フリガナ「キューピッド」年齢「4歳」性別「女」 性格「恥ずかしがり屋。サンタさんを信じてます。」
■お子様が最近頑張ったこと
(1人目) 名前「ルドルフ」メッセージ「お片付けや妹の面倒をみて頑張ってるね。」
(2人目) 名前「キューピッド」メッセージ「発表会頑張ったね。」
■お子様にこれから頑張ってほしいこと
(1人目) 名前「ルドルフ」メッセージ「1月から始める野球頑張ってね」
(2人目) 名前「キューピッド」メッセージ「ピアノとお歌頑張ってね」
■携帯メールアドレス
santa@docomo.ne.jp
 ■携帯電話番号
0901234567
 ■郵便番号
2430816
 ■都道府県
 神奈川県
■市区町村・番地
 神奈川県厚木市１－１－１
 ■当日のお届け先住所が同じか
住所と同じ
■お届け先の表札名
 三田
■お届け先の特徴
 最寄り駅 本厚木駅からバス ○○下車
ファミマの反対に向かい進む
信号のある横断歩道を渡り右へ
左手に黄色のマンション
一つ目の路地を左に入る
直進すると左に6件戸建がある路地
その左奥、タイル調壁の二階建一軒家です。
■希望の連絡方法
 携帯(固定)電話への通話
■第１お届け希望時間
19:00-20:00
 ■第２お届け希望時間
17:00-20:00(いつでもOK)
 ■プレゼントの大きさ
袋にはいる
■訪問サンタの希望
どちらでも構わない
■チャリティーへの同意
 同意する
■過去のチャリティーサンタの応募回数
 初めて
■応募のきっかけ
 その他
■応募のきっかけ(自由記入欄)
たまたまインターネットで見つけました
■ボランティアサンタへのメッセージ
子供達が喜ぶ姿が目に浮かびます。
 私も小さな頃は煙突も無いしサンタさんに会えるにはどうしたらいいものか悩んだ事を今、依頼しながら思い出しました。夢のある素敵な活動をしてくださる皆様に心より感謝いたします。
■備考
 何名様でいらっしゃるのか教えてください。
……………………………………………………………………………………………
</t>
    <phoneticPr fontId="1"/>
  </si>
  <si>
    <t>yae1lo0001.docx</t>
    <phoneticPr fontId="4"/>
  </si>
  <si>
    <t xml:space="preserve">
To yokohama 
2件目 サンタを呼ぶに申し込みがありました。
 申込み内容は以下のとおりです。
……………………………………………………………………………………………
■EMAIL
 xmas@i.softbank.jp
 ■氏名
 久利須 真寿
■フリガナ
 クリス マス
■お子様について
(1人目) 名前「聖」フリガナ「ヒジリ」年齢「4歳」性別「女」 性格「元気で明るい子 サンタさんを信じて待ちわびている」
(2人目) 名前「聖来」フリガナ「セイラ」年齢「0歳10ヶ月」性別「女」 性格「人なつっこい」
■お子様が最近頑張ったこと
(1人目) 名前「ヒジリ」メッセージ「いつもセイラちゃんの面倒をみて，優しいお姉ちゃんでえらいね。」
(2人目) 名前「セイラ」メッセージ「いつも笑顔でありがとう。」
■お子様にこれから頑張ってほしいこと
(1人目) 名前「ヒジリ」メッセージ「お片付けをできるようになろうね」
(2人目) 名前「セイラ」メッセージ「たくさん食べて大きくなってね」
■携帯メールアドレス
xmas@i.softbank.jp
 ■携帯電話番号
0904567890
 ■郵便番号
252-0215
 ■都道府県
 神奈川県
■市区町村・番地
 相模原市中央区氷川町１－１
 ■建物名
リバー1102
 ■当日のお届け先住所が同じか
住所と同じ
■お届け先の表札名
 久利須
■お届け先の特徴
 最寄り駅:相模原駅
 最寄り駅からの徒歩の所要時間:10分弱
 自宅の特徴:明るい青色の25階建マンション，駅よりのお隣もマンションで50階建です。
■希望の連絡方法
 携帯(固定)電話への通話
■第１お届け希望時間
19:00-20:00
 ■第２お届け希望時間
18:00-19:00
 ■プレゼントの大きさ
 まだわからない
■訪問サンタの希望
どちらでも構わない
■チャリティーへの同意
 同意する
■過去のチャリティーサンタの応募回数
 初めて
■応募のきっかけ
facebook
 ■ボランティアサンタへのメッセージ
友人がFacebookに投稿していて初めて知りました。素敵なチャリティーですね。子ども達はもちろん私もとても楽しみにしております。
……………………………………………………………………………………………</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</si>
</sst>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sz val="10"/>
      <name val="Arial"/>
      <family val="2"/>
    </font>
    <font>
      <sz val="11"/>
      <color rgb="FF000000"/>
      <name val="ＭＳ Ｐゴシック"/>
      <family val="3"/>
      <charset val="128"/>
    </font>
    <font>
      <sz val="6"/>
      <name val="ＭＳ Ｐゴシック"/>
      <family val="3"/>
      <charset val="128"/>
    </font>
  </fonts>
  <fills count="3">
    <fill>
      <patternFill patternType="none"/>
    </fill>
    <fill>
      <patternFill patternType="gray125"/>
    </fill>
    <fill>
      <patternFill patternType="solid">
        <fgColor rgb="FFFBD4B4"/>
        <bgColor rgb="FFFBD4B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 fillId="0" borderId="0"/>
  </cellStyleXfs>
  <cellXfs count="10">
    <xf numFmtId="0" fontId="0" fillId="0" borderId="0" xfId="0">
      <alignment vertical="center"/>
    </xf>
    <xf numFmtId="0" fontId="0" fillId="0" borderId="0" xfId="0" applyAlignment="1">
      <alignment vertical="center" wrapText="1"/>
    </xf>
    <xf numFmtId="0" fontId="0" fillId="0" borderId="0" xfId="0" applyNumberFormat="1">
      <alignment vertical="center"/>
    </xf>
    <xf numFmtId="49" fontId="3" fillId="2" borderId="1" xfId="1" applyNumberFormat="1" applyFont="1" applyFill="1" applyBorder="1" applyAlignment="1">
      <alignment vertical="center"/>
    </xf>
    <xf numFmtId="0" fontId="3" fillId="0" borderId="1" xfId="1" applyFont="1" applyBorder="1" applyAlignment="1">
      <alignment vertical="center"/>
    </xf>
    <xf numFmtId="0" fontId="2" fillId="0" borderId="0" xfId="1" applyFont="1"/>
    <xf numFmtId="0" fontId="2" fillId="0" borderId="0" xfId="1"/>
    <xf numFmtId="49" fontId="2" fillId="0" borderId="0" xfId="1" applyNumberFormat="1"/>
    <xf numFmtId="0" fontId="0" fillId="0" borderId="0" xfId="0" applyFill="1">
      <alignment vertical="center"/>
    </xf>
    <xf numFmtId="0" fontId="0" fillId="0" borderId="0" xfId="0" applyNumberFormat="1" applyFill="1">
      <alignment vertical="center"/>
    </xf>
  </cellXfs>
  <cellStyles count="2">
    <cellStyle name="標準" xfId="0" builtinId="0"/>
    <cellStyle name="標準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0</xdr:rowOff>
        </xdr:from>
        <xdr:to>
          <xdr:col>2</xdr:col>
          <xdr:colOff>0</xdr:colOff>
          <xdr:row>1</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Wordファイル生成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6</xdr:row>
          <xdr:rowOff>57150</xdr:rowOff>
        </xdr:from>
        <xdr:to>
          <xdr:col>1</xdr:col>
          <xdr:colOff>752475</xdr:colOff>
          <xdr:row>8</xdr:row>
          <xdr:rowOff>133350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地図画像作成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
  <sheetViews>
    <sheetView topLeftCell="A3" zoomScale="115" zoomScaleNormal="115" workbookViewId="0">
      <selection activeCell="A3" sqref="A3"/>
    </sheetView>
  </sheetViews>
  <sheetFormatPr defaultRowHeight="13.5" x14ac:dyDescent="0.15"/>
  <cols>
    <col min="1" max="1" width="132.5" customWidth="1"/>
  </cols>
  <sheetData>
    <row r="1" spans="1:2" x14ac:dyDescent="0.15">
      <c r="A1" t="s">
        <v>26</v>
      </c>
    </row>
    <row r="2" spans="1:2" ht="409.5" x14ac:dyDescent="0.15">
      <c r="A2" s="1" t="s">
        <v>271</v>
      </c>
      <c r="B2" t="str">
        <f>MID($A2,FIND("■EMAIL",$A2)+LEN("■EMAIL"),FIND(CHAR(10),$A2,FIND("■EMAIL",$A2))-FIND("■EMAIL",$A2)-LEN("■EMAIL"))</f>
        <v/>
      </c>
    </row>
    <row r="3" spans="1:2" ht="409.5" x14ac:dyDescent="0.15">
      <c r="A3" s="1" t="s">
        <v>273</v>
      </c>
    </row>
  </sheetData>
  <phoneticPr fontId="1"/>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114"/>
  <sheetViews>
    <sheetView tabSelected="1" topLeftCell="F1" zoomScale="85" zoomScaleNormal="85" workbookViewId="0">
      <selection activeCell="K7" sqref="K7"/>
    </sheetView>
  </sheetViews>
  <sheetFormatPr defaultColWidth="13.125" defaultRowHeight="13.5" x14ac:dyDescent="0.15"/>
  <cols>
    <col min="1" max="1" width="13.125" style="2"/>
    <col min="3" max="3" width="17.125" style="2" bestFit="1" customWidth="1"/>
    <col min="4" max="4" width="17.125" style="2" customWidth="1"/>
    <col min="5" max="5" width="71.375" bestFit="1" customWidth="1"/>
    <col min="6" max="6" width="20.25" bestFit="1" customWidth="1"/>
    <col min="11" max="11" width="15.625" customWidth="1"/>
    <col min="14" max="14" width="13.125" customWidth="1"/>
    <col min="15" max="15" width="17.125" bestFit="1" customWidth="1"/>
  </cols>
  <sheetData>
    <row r="1" spans="1:35" ht="29.65" customHeight="1" x14ac:dyDescent="0.15">
      <c r="C1" s="2" t="s">
        <v>266</v>
      </c>
    </row>
    <row r="2" spans="1:35" x14ac:dyDescent="0.15">
      <c r="A2" s="2" t="s">
        <v>43</v>
      </c>
      <c r="B2" s="2" t="s">
        <v>28</v>
      </c>
      <c r="C2" s="2" t="s">
        <v>33</v>
      </c>
      <c r="D2" s="2" t="s">
        <v>35</v>
      </c>
      <c r="E2" t="s">
        <v>31</v>
      </c>
      <c r="F2" t="s">
        <v>0</v>
      </c>
      <c r="G2" t="s">
        <v>1</v>
      </c>
      <c r="H2" t="s">
        <v>267</v>
      </c>
      <c r="I2" t="s">
        <v>2</v>
      </c>
      <c r="J2" t="s">
        <v>3</v>
      </c>
      <c r="K2" t="s">
        <v>4</v>
      </c>
      <c r="L2" t="s">
        <v>5</v>
      </c>
      <c r="M2" t="s">
        <v>6</v>
      </c>
      <c r="N2" t="s">
        <v>7</v>
      </c>
      <c r="O2" t="s">
        <v>8</v>
      </c>
      <c r="P2" t="s">
        <v>9</v>
      </c>
      <c r="Q2" t="s">
        <v>10</v>
      </c>
      <c r="R2" t="s">
        <v>270</v>
      </c>
      <c r="S2" t="s">
        <v>11</v>
      </c>
      <c r="T2" t="s">
        <v>12</v>
      </c>
      <c r="U2" t="s">
        <v>13</v>
      </c>
      <c r="V2" t="s">
        <v>14</v>
      </c>
      <c r="W2" t="s">
        <v>15</v>
      </c>
      <c r="X2" t="s">
        <v>16</v>
      </c>
      <c r="Y2" t="s">
        <v>17</v>
      </c>
      <c r="Z2" t="s">
        <v>18</v>
      </c>
      <c r="AA2" t="s">
        <v>19</v>
      </c>
      <c r="AB2" t="s">
        <v>20</v>
      </c>
      <c r="AC2" t="s">
        <v>268</v>
      </c>
      <c r="AD2" t="s">
        <v>21</v>
      </c>
      <c r="AE2" t="s">
        <v>27</v>
      </c>
      <c r="AF2" t="s">
        <v>22</v>
      </c>
      <c r="AG2" t="s">
        <v>23</v>
      </c>
      <c r="AH2" t="s">
        <v>24</v>
      </c>
      <c r="AI2" t="s">
        <v>25</v>
      </c>
    </row>
    <row r="3" spans="1:35" x14ac:dyDescent="0.15">
      <c r="A3" s="2" t="s">
        <v>29</v>
      </c>
      <c r="B3" t="s">
        <v>44</v>
      </c>
      <c r="C3" s="2" t="s">
        <v>34</v>
      </c>
      <c r="D3" t="s">
        <v>30</v>
      </c>
      <c r="E3" t="s">
        <v>32</v>
      </c>
      <c r="F3" t="s">
        <v>38</v>
      </c>
      <c r="J3" t="s">
        <v>48</v>
      </c>
      <c r="K3" t="s">
        <v>49</v>
      </c>
      <c r="L3" t="s">
        <v>50</v>
      </c>
      <c r="M3" t="s">
        <v>37</v>
      </c>
      <c r="N3" t="s">
        <v>39</v>
      </c>
      <c r="W3" t="s">
        <v>46</v>
      </c>
      <c r="X3" t="s">
        <v>36</v>
      </c>
      <c r="Y3" t="s">
        <v>40</v>
      </c>
      <c r="Z3" t="s">
        <v>41</v>
      </c>
      <c r="AA3" t="s">
        <v>42</v>
      </c>
      <c r="AB3" t="s">
        <v>45</v>
      </c>
      <c r="AH3" t="s">
        <v>47</v>
      </c>
      <c r="AI3" t="s">
        <v>51</v>
      </c>
    </row>
    <row r="4" spans="1:35" s="8" customFormat="1" x14ac:dyDescent="0.15">
      <c r="A4" s="9" t="str">
        <f>TEXT($B4,"0000")</f>
        <v>0001</v>
      </c>
      <c r="B4" s="8" t="str">
        <f>CLEAN(SUBSTITUTE(IF(ISERROR(FIND("yokohama",Mail!$A2)),"",MID(Mail!$A2,FIND("yokohama",Mail!$A2)+LEN("yokohama")+1,FIND("件目",Mail!$A2,FIND("yokohama",Mail!$A2))-(FIND("yokohama",Mail!$A2)+LEN("yokohama")+1)))," ",""))</f>
        <v>1</v>
      </c>
      <c r="C4" s="9" t="str">
        <f t="shared" ref="C4:C35" si="0">IF($A4="","",IF($S4="住所と同じ",$O4,$T4))</f>
        <v>2430816</v>
      </c>
      <c r="D4" s="9" t="str">
        <f>IF($A4="","",$G4&amp;"("&amp;IF($H4="",$I4,$H4)&amp;")")</f>
        <v>三田黒酢(サンタ クロス)</v>
      </c>
      <c r="E4" s="8" t="str">
        <f>IF($S4="住所と同じ",$P4&amp;$Q4&amp;IF($R4="",""," "&amp;R4),$U4&amp;$V4)</f>
        <v>神奈川県神奈川県厚木市１－１－１</v>
      </c>
      <c r="F4" s="8" t="str">
        <f>TRIM(CLEAN(IF(ISERROR(FIND(F$2,Mail!$A2)),"",MID(Mail!$A2,FIND(F$2,Mail!$A2)+LEN(F$2)+1,IF(ISERROR(FIND("■",Mail!$A2,FIND(F$2,Mail!$A2)+LEN(F$2))-FIND(F$2,Mail!$A2)-LEN(F$2)),LEN(Mail!$A2)-60-FIND(F$2,Mail!$A2)-LEN(F$2),FIND("■",Mail!$A2,FIND(F$2,Mail!$A2)+LEN(F$2))-FIND(F$2,Mail!$A2)-LEN(F$2)-1)))))</f>
        <v>santa@docomo.ne.jp</v>
      </c>
      <c r="G4" s="8" t="str">
        <f>TRIM(CLEAN(IF(ISERROR(FIND(G$2,Mail!$A2)),"",MID(Mail!$A2,FIND(G$2,Mail!$A2)+LEN(G$2)+1,IF(ISERROR(FIND("■",Mail!$A2,FIND(G$2,Mail!$A2)+LEN(G$2))-FIND(G$2,Mail!$A2)-LEN(G$2)),LEN(Mail!$A2)-60-FIND(G$2,Mail!$A2)-LEN(G$2),FIND("■",Mail!$A2,FIND(G$2,Mail!$A2)+LEN(G$2))-FIND(G$2,Mail!$A2)-LEN(G$2)-1)))))</f>
        <v>三田黒酢</v>
      </c>
      <c r="H4" s="8" t="str">
        <f>TRIM(CLEAN(IF(ISERROR(FIND(H$2,Mail!$A2)),"",MID(Mail!$A2,FIND(H$2,Mail!$A2)+LEN(H$2)+1,IF(ISERROR(FIND("■",Mail!$A2,FIND(H$2,Mail!$A2)+LEN(H$2))-FIND(H$2,Mail!$A2)-LEN(H$2)),LEN(Mail!$A2)-60-FIND(H$2,Mail!$A2)-LEN(H$2),FIND("■",Mail!$A2,FIND(H$2,Mail!$A2)+LEN(H$2))-FIND(H$2,Mail!$A2)-LEN(H$2)-1)))))</f>
        <v>サンタ クロス</v>
      </c>
      <c r="I4" s="8" t="str">
        <f>TRIM(CLEAN(IF(ISERROR(FIND(I$2,Mail!$A2)),"",MID(Mail!$A2,FIND(I$2,Mail!$A2)+LEN(I$2)+1,IF(ISERROR(FIND("■",Mail!$A2,FIND(I$2,Mail!$A2)+LEN(I$2))-FIND(I$2,Mail!$A2)-LEN(I$2)),LEN(Mail!$A2)-60-FIND(I$2,Mail!$A2)-LEN(I$2),FIND("■",Mail!$A2,FIND(I$2,Mail!$A2)+LEN(I$2))-FIND(I$2,Mail!$A2)-LEN(I$2)-1)))))</f>
        <v/>
      </c>
      <c r="J4" s="8" t="str">
        <f>TRIM(IF(ISERROR(FIND(J$2,Mail!$A2)),"",MID(Mail!$A2,FIND(J$2,Mail!$A2)+LEN(J$2)+1,IF(ISERROR(FIND("■",Mail!$A2,FIND(J$2,Mail!$A2)+LEN(J$2))-FIND(J$2,Mail!$A2)-LEN(J$2)),LEN(Mail!$A2)-60-FIND(J$2,Mail!$A2)-LEN(J$2),FIND("■",Mail!$A2,FIND(J$2,Mail!$A2)+LEN(J$2))-FIND(J$2,Mail!$A2)-LEN(J$2)-1))))</f>
        <v xml:space="preserve">(1人目) 名前「留弗夫」フリガナ「ルドルフ」年齢「7歳」性別「男」 性格「恥ずかしがり屋。遊びでは元気ですが人前に立つと声が小さい。サンタさんはいないと思いはじめています。」
(2人目) 名前「天使」フリガナ「キューピッド」年齢「4歳」性別「女」 性格「恥ずかしがり屋。サンタさんを信じてます。」
</v>
      </c>
      <c r="K4" s="8" t="str">
        <f>TRIM(IF(ISERROR(FIND(K$2,Mail!$A2)),"",MID(Mail!$A2,FIND(K$2,Mail!$A2)+LEN(K$2)+1,IF(ISERROR(FIND("■",Mail!$A2,FIND(K$2,Mail!$A2)+LEN(K$2))-FIND(K$2,Mail!$A2)-LEN(K$2)),LEN(Mail!$A2)-60-FIND(K$2,Mail!$A2)-LEN(K$2),FIND("■",Mail!$A2,FIND(K$2,Mail!$A2)+LEN(K$2))-FIND(K$2,Mail!$A2)-LEN(K$2)-1))))</f>
        <v xml:space="preserve">(1人目) 名前「ルドルフ」メッセージ「お片付けや妹の面倒をみて頑張ってるね。」
(2人目) 名前「キューピッド」メッセージ「発表会頑張ったね。」
</v>
      </c>
      <c r="L4" s="8" t="str">
        <f>TRIM(IF(ISERROR(FIND(L$2,Mail!$A2)),"",MID(Mail!$A2,FIND(L$2,Mail!$A2)+LEN(L$2)+1,IF(ISERROR(FIND("■",Mail!$A2,FIND(L$2,Mail!$A2)+LEN(L$2))-FIND(L$2,Mail!$A2)-LEN(L$2)),LEN(Mail!$A2)-60-FIND(L$2,Mail!$A2)-LEN(L$2),FIND("■",Mail!$A2,FIND(L$2,Mail!$A2)+LEN(L$2))-FIND(L$2,Mail!$A2)-LEN(L$2)-1))))</f>
        <v xml:space="preserve">(1人目) 名前「ルドルフ」メッセージ「1月から始める野球頑張ってね」
(2人目) 名前「キューピッド」メッセージ「ピアノとお歌頑張ってね」
</v>
      </c>
      <c r="M4" s="8" t="str">
        <f>TRIM(CLEAN(IF(ISERROR(FIND(M$2,Mail!$A2)),"",MID(Mail!$A2,FIND(M$2,Mail!$A2)+LEN(M$2)+1,IF(ISERROR(FIND("■",Mail!$A2,FIND(M$2,Mail!$A2)+LEN(M$2))-FIND(M$2,Mail!$A2)-LEN(M$2)),LEN(Mail!$A2)-60-FIND(M$2,Mail!$A2)-LEN(M$2),FIND("■",Mail!$A2,FIND(M$2,Mail!$A2)+LEN(M$2))-FIND(M$2,Mail!$A2)-LEN(M$2)-1)))))</f>
        <v>santa@docomo.ne.jp</v>
      </c>
      <c r="N4" s="8" t="str">
        <f>TRIM(CLEAN(IF(ISERROR(FIND(N$2,Mail!$A2)),"",MID(Mail!$A2,FIND(N$2,Mail!$A2)+LEN(N$2)+1,IF(ISERROR(FIND("■",Mail!$A2,FIND(N$2,Mail!$A2)+LEN(N$2))-FIND(N$2,Mail!$A2)-LEN(N$2)),LEN(Mail!$A2)-60-FIND(N$2,Mail!$A2)-LEN(N$2),FIND("■",Mail!$A2,FIND(N$2,Mail!$A2)+LEN(N$2))-FIND(N$2,Mail!$A2)-LEN(N$2)-1)))))</f>
        <v>0901234567</v>
      </c>
      <c r="O4" s="8" t="str">
        <f>TRIM(CLEAN(IF(ISERROR(FIND(O$2,Mail!$A2)),"",MID(Mail!$A2,FIND(O$2,Mail!$A2)+LEN(O$2)+1,IF(ISERROR(FIND("■",Mail!$A2,FIND(O$2,Mail!$A2)+LEN(O$2))-FIND(O$2,Mail!$A2)-LEN(O$2)),LEN(Mail!$A2)-60-FIND(O$2,Mail!$A2)-LEN(O$2),FIND("■",Mail!$A2,FIND(O$2,Mail!$A2)+LEN(O$2))-FIND(O$2,Mail!$A2)-LEN(O$2)-1)))))</f>
        <v>2430816</v>
      </c>
      <c r="P4" s="8" t="str">
        <f>TRIM(CLEAN(IF(ISERROR(FIND(P$2,Mail!$A2)),"",MID(Mail!$A2,FIND(P$2,Mail!$A2)+LEN(P$2)+1,IF(ISERROR(FIND("■",Mail!$A2,FIND(P$2,Mail!$A2)+LEN(P$2))-FIND(P$2,Mail!$A2)-LEN(P$2)),LEN(Mail!$A2)-60-FIND(P$2,Mail!$A2)-LEN(P$2),FIND("■",Mail!$A2,FIND(P$2,Mail!$A2)+LEN(P$2))-FIND(P$2,Mail!$A2)-LEN(P$2)-1)))))</f>
        <v>神奈川県</v>
      </c>
      <c r="Q4" s="8" t="str">
        <f>TRIM(CLEAN(IF(ISERROR(FIND(Q$2,Mail!$A2)),"",MID(Mail!$A2,FIND(Q$2,Mail!$A2)+LEN(Q$2)+1,IF(ISERROR(FIND("■",Mail!$A2,FIND(Q$2,Mail!$A2)+LEN(Q$2))-FIND(Q$2,Mail!$A2)-LEN(Q$2)),LEN(Mail!$A2)-60-FIND(Q$2,Mail!$A2)-LEN(Q$2),FIND("■",Mail!$A2,FIND(Q$2,Mail!$A2)+LEN(Q$2))-FIND(Q$2,Mail!$A2)-LEN(Q$2)-1)))))</f>
        <v>神奈川県厚木市１－１－１</v>
      </c>
      <c r="R4" s="8" t="str">
        <f>TRIM(CLEAN(IF(ISERROR(FIND(R$2,Mail!$A2)),"",MID(Mail!$A2,FIND(R$2,Mail!$A2)+LEN(R$2)+1,IF(ISERROR(FIND("■",Mail!$A2,FIND(R$2,Mail!$A2)+LEN(R$2))-FIND(R$2,Mail!$A2)-LEN(R$2)),LEN(Mail!$A2)-60-FIND(R$2,Mail!$A2)-LEN(R$2),FIND("■",Mail!$A2,FIND(R$2,Mail!$A2)+LEN(R$2))-FIND(R$2,Mail!$A2)-LEN(R$2)-1)))))</f>
        <v/>
      </c>
      <c r="S4" s="8" t="str">
        <f>TRIM(CLEAN(IF(ISERROR(FIND(S$2,Mail!$A2)),"",MID(Mail!$A2,FIND(S$2,Mail!$A2)+LEN(S$2)+1,IF(ISERROR(FIND("■",Mail!$A2,FIND(S$2,Mail!$A2)+LEN(S$2))-FIND(S$2,Mail!$A2)-LEN(S$2)),LEN(Mail!$A2)-60-FIND(S$2,Mail!$A2)-LEN(S$2),FIND("■",Mail!$A2,FIND(S$2,Mail!$A2)+LEN(S$2))-FIND(S$2,Mail!$A2)-LEN(S$2)-1)))))</f>
        <v>住所と同じ</v>
      </c>
      <c r="T4" s="8" t="str">
        <f>TRIM(CLEAN(IF(ISERROR(FIND(T$2,Mail!$A2)),"",MID(Mail!$A2,FIND(T$2,Mail!$A2)+LEN(T$2)+1,IF(ISERROR(FIND("■",Mail!$A2,FIND(T$2,Mail!$A2)+LEN(T$2))-FIND(T$2,Mail!$A2)-LEN(T$2)),LEN(Mail!$A2)-60-FIND(T$2,Mail!$A2)-LEN(T$2),FIND("■",Mail!$A2,FIND(T$2,Mail!$A2)+LEN(T$2))-FIND(T$2,Mail!$A2)-LEN(T$2)-1)))))</f>
        <v/>
      </c>
      <c r="U4" s="8" t="str">
        <f>TRIM(CLEAN(IF(ISERROR(FIND(U$2,Mail!$A2)),"",MID(Mail!$A2,FIND(U$2,Mail!$A2)+LEN(U$2)+1,IF(ISERROR(FIND("■",Mail!$A2,FIND(U$2,Mail!$A2)+LEN(U$2))-FIND(U$2,Mail!$A2)-LEN(U$2)),LEN(Mail!$A2)-60-FIND(U$2,Mail!$A2)-LEN(U$2),FIND("■",Mail!$A2,FIND(U$2,Mail!$A2)+LEN(U$2))-FIND(U$2,Mail!$A2)-LEN(U$2)-1)))))</f>
        <v/>
      </c>
      <c r="V4" s="8" t="str">
        <f>TRIM(CLEAN(IF(ISERROR(FIND(V$2,Mail!$A2)),"",MID(Mail!$A2,FIND(V$2,Mail!$A2)+LEN(V$2)+1,IF(ISERROR(FIND("■",Mail!$A2,FIND(V$2,Mail!$A2)+LEN(V$2))-FIND(V$2,Mail!$A2)-LEN(V$2)),LEN(Mail!$A2)-60-FIND(V$2,Mail!$A2)-LEN(V$2),FIND("■",Mail!$A2,FIND(V$2,Mail!$A2)+LEN(V$2))-FIND(V$2,Mail!$A2)-LEN(V$2)-1)))))</f>
        <v/>
      </c>
      <c r="W4" s="8" t="str">
        <f>TRIM(CLEAN(IF(ISERROR(FIND(W$2,Mail!$A2)),"",MID(Mail!$A2,FIND(W$2,Mail!$A2)+LEN(W$2)+1,IF(ISERROR(FIND("■",Mail!$A2,FIND(W$2,Mail!$A2)+LEN(W$2))-FIND(W$2,Mail!$A2)-LEN(W$2)),LEN(Mail!$A2)-60-FIND(W$2,Mail!$A2)-LEN(W$2),FIND("■",Mail!$A2,FIND(W$2,Mail!$A2)+LEN(W$2))-FIND(W$2,Mail!$A2)-LEN(W$2)-1)))))</f>
        <v>三田</v>
      </c>
      <c r="X4" s="8" t="str">
        <f>TRIM(IF(ISERROR(FIND(X$2,Mail!$A2)),"",MID(Mail!$A2,FIND(X$2,Mail!$A2)+LEN(X$2)+1,IF(ISERROR(FIND("■",Mail!$A2,FIND(X$2,Mail!$A2)+LEN(X$2))-FIND(X$2,Mail!$A2)-LEN(X$2)),LEN(Mail!$A2)-60-FIND(X$2,Mail!$A2)-LEN(X$2),FIND("■",Mail!$A2,FIND(X$2,Mail!$A2)+LEN(X$2))-FIND(X$2,Mail!$A2)-LEN(X$2)-1))))</f>
        <v xml:space="preserve">最寄り駅 本厚木駅からバス ○○下車
ファミマの反対に向かい進む
信号のある横断歩道を渡り右へ
左手に黄色のマンション
一つ目の路地を左に入る
直進すると左に6件戸建がある路地
その左奥、タイル調壁の二階建一軒家です。
</v>
      </c>
      <c r="Y4" s="8" t="str">
        <f>TRIM(CLEAN(IF(ISERROR(FIND(Y$2,Mail!$A2)),"",MID(Mail!$A2,FIND(Y$2,Mail!$A2)+LEN(Y$2)+1,IF(ISERROR(FIND("■",Mail!$A2,FIND(Y$2,Mail!$A2)+LEN(Y$2))-FIND(Y$2,Mail!$A2)-LEN(Y$2)),LEN(Mail!$A2)-60-FIND(Y$2,Mail!$A2)-LEN(Y$2),FIND("■",Mail!$A2,FIND(Y$2,Mail!$A2)+LEN(Y$2))-FIND(Y$2,Mail!$A2)-LEN(Y$2)-1)))))</f>
        <v>携帯(固定)電話への通話</v>
      </c>
      <c r="Z4" s="8" t="str">
        <f>TRIM(CLEAN(IF(ISERROR(FIND(Z$2,Mail!$A2)),"",MID(Mail!$A2,FIND(Z$2,Mail!$A2)+LEN(Z$2)+1,IF(ISERROR(FIND("■",Mail!$A2,FIND(Z$2,Mail!$A2)+LEN(Z$2))-FIND(Z$2,Mail!$A2)-LEN(Z$2)),LEN(Mail!$A2)-60-FIND(Z$2,Mail!$A2)-LEN(Z$2),FIND("■",Mail!$A2,FIND(Z$2,Mail!$A2)+LEN(Z$2))-FIND(Z$2,Mail!$A2)-LEN(Z$2)-1)))))</f>
        <v>19:00-20:00</v>
      </c>
      <c r="AA4" s="8" t="str">
        <f>TRIM(CLEAN(IF(ISERROR(FIND(AA$2,Mail!$A2)),"",MID(Mail!$A2,FIND(AA$2,Mail!$A2)+LEN(AA$2)+1,IF(ISERROR(FIND("■",Mail!$A2,FIND(AA$2,Mail!$A2)+LEN(AA$2))-FIND(AA$2,Mail!$A2)-LEN(AA$2)),LEN(Mail!$A2)-60-FIND(AA$2,Mail!$A2)-LEN(AA$2),FIND("■",Mail!$A2,FIND(AA$2,Mail!$A2)+LEN(AA$2))-FIND(AA$2,Mail!$A2)-LEN(AA$2)-1)))))</f>
        <v>17:00-20:00(いつでもOK)</v>
      </c>
      <c r="AB4" s="8" t="str">
        <f>TRIM(CLEAN(IF(ISERROR(FIND(AB$2,Mail!$A2)),"",MID(Mail!$A2,FIND(AB$2,Mail!$A2)+LEN(AB$2)+1,IF(ISERROR(FIND("■",Mail!$A2,FIND(AB$2,Mail!$A2)+LEN(AB$2))-FIND(AB$2,Mail!$A2)-LEN(AB$2)),LEN(Mail!$A2)-60-FIND(AB$2,Mail!$A2)-LEN(AB$2),FIND("■",Mail!$A2,FIND(AB$2,Mail!$A2)+LEN(AB$2))-FIND(AB$2,Mail!$A2)-LEN(AB$2)-1)))))</f>
        <v>袋にはいる</v>
      </c>
      <c r="AC4" s="8" t="str">
        <f>TRIM(CLEAN(IF(ISERROR(FIND(AC$2,Mail!$A2)),"",MID(Mail!$A2,FIND(AC$2,Mail!$A2)+LEN(AC$2)+1,IF(ISERROR(FIND("■",Mail!$A2,FIND(AC$2,Mail!$A2)+LEN(AC$2))-FIND(AC$2,Mail!$A2)-LEN(AC$2)),LEN(Mail!$A2)-60-FIND(AC$2,Mail!$A2)-LEN(AC$2),FIND("■",Mail!$A2,FIND(AC$2,Mail!$A2)+LEN(AC$2))-FIND(AC$2,Mail!$A2)-LEN(AC$2)-1)))))</f>
        <v>どちらでも構わない</v>
      </c>
      <c r="AD4" s="8" t="str">
        <f>TRIM(CLEAN(IF(ISERROR(FIND(AD$2,Mail!$A2)),"",MID(Mail!$A2,FIND(AD$2,Mail!$A2)+LEN(AD$2)+1,IF(ISERROR(FIND("■",Mail!$A2,FIND(AD$2,Mail!$A2)+LEN(AD$2))-FIND(AD$2,Mail!$A2)-LEN(AD$2)),LEN(Mail!$A2)-60-FIND(AD$2,Mail!$A2)-LEN(AD$2),FIND("■",Mail!$A2,FIND(AD$2,Mail!$A2)+LEN(AD$2))-FIND(AD$2,Mail!$A2)-LEN(AD$2)-1)))))</f>
        <v/>
      </c>
      <c r="AE4" s="8" t="str">
        <f>TRIM(CLEAN(IF(ISERROR(FIND(AE$2,Mail!$A2)),"",MID(Mail!$A2,FIND(AE$2,Mail!$A2)+LEN(AE$2)+1,IF(ISERROR(FIND("■",Mail!$A2,FIND(AE$2,Mail!$A2)+LEN(AE$2))-FIND(AE$2,Mail!$A2)-LEN(AE$2)),LEN(Mail!$A2)-60-FIND(AE$2,Mail!$A2)-LEN(AE$2),FIND("■",Mail!$A2,FIND(AE$2,Mail!$A2)+LEN(AE$2))-FIND(AE$2,Mail!$A2)-LEN(AE$2)-1)))))</f>
        <v>同意する</v>
      </c>
      <c r="AF4" s="8" t="str">
        <f>TRIM(CLEAN(IF(ISERROR(FIND(AF$2,Mail!$A2)),"",MID(Mail!$A2,FIND(AF$2,Mail!$A2)+LEN(AF$2)+1,IF(ISERROR(FIND("■",Mail!$A2,FIND(AF$2,Mail!$A2)+LEN(AF$2))-FIND(AF$2,Mail!$A2)-LEN(AF$2)),LEN(Mail!$A2)-60-FIND(AF$2,Mail!$A2)-LEN(AF$2),FIND("■",Mail!$A2,FIND(AF$2,Mail!$A2)+LEN(AF$2))-FIND(AF$2,Mail!$A2)-LEN(AF$2)-1)))))</f>
        <v>初めて</v>
      </c>
      <c r="AG4" s="8" t="str">
        <f>TRIM(IF(ISERROR(FIND(AG$2,Mail!$A2)),"",MID(Mail!$A2,FIND(AG$2,Mail!$A2)+LEN(AG$2)+1,IF(ISERROR(FIND("■",Mail!$A2,FIND(AG$2,Mail!$A2)+LEN(AG$2))-FIND(AG$2,Mail!$A2)-LEN(AG$2)),LEN(Mail!$A2)-60-FIND(AG$2,Mail!$A2)-LEN(AG$2),FIND("■",Mail!$A2,FIND(AG$2,Mail!$A2)+LEN(AG$2))-FIND(AG$2,Mail!$A2)-LEN(AG$2)-1))))</f>
        <v xml:space="preserve">その他
</v>
      </c>
      <c r="AH4" s="8" t="str">
        <f>TRIM(IF(ISERROR(FIND(AH$2,Mail!$A2)),"",MID(Mail!$A2,FIND(AH$2,Mail!$A2)+LEN(AH$2)+1,IF(ISERROR(FIND("■",Mail!$A2,FIND(AH$2,Mail!$A2)+LEN(AH$2))-FIND(AH$2,Mail!$A2)-LEN(AH$2)),LEN(Mail!$A2)-60-FIND(AH$2,Mail!$A2)-LEN(AH$2),FIND("■",Mail!$A2,FIND(AH$2,Mail!$A2)+LEN(AH$2))-FIND(AH$2,Mail!$A2)-LEN(AH$2)-1))))</f>
        <v xml:space="preserve">子供達が喜ぶ姿が目に浮かびます。
 私も小さな頃は煙突も無いしサンタさんに会えるにはどうしたらいいものか悩んだ事を今、依頼しながら思い出しました。夢のある素敵な活動をしてくださる皆様に心より感謝いたします。
</v>
      </c>
      <c r="AI4" s="8" t="str">
        <f>TRIM(IF(ISERROR(FIND(AI$2,Mail!$A2)),"",MID(Mail!$A2,FIND(AI$2,Mail!$A2)+LEN(AI$2)+1,IF(ISERROR(FIND("■",Mail!$A2,FIND(AI$2,Mail!$A2)+LEN(AI$2))-FIND(AI$2,Mail!$A2)-LEN(AI$2)),LEN(Mail!$A2)-60-FIND(AI$2,Mail!$A2)-LEN(AI$2),FIND("■",Mail!$A2,FIND(AI$2,Mail!$A2)+LEN(AI$2))-FIND(AI$2,Mail!$A2)-LEN(AI$2)-1))))</f>
        <v/>
      </c>
    </row>
    <row r="5" spans="1:35" s="8" customFormat="1" x14ac:dyDescent="0.15">
      <c r="A5" s="9" t="str">
        <f t="shared" ref="A5:A68" si="1">TEXT($B5,"0000")</f>
        <v>0002</v>
      </c>
      <c r="B5" s="8" t="str">
        <f>CLEAN(SUBSTITUTE(IF(ISERROR(FIND("yokohama",Mail!$A3)),"",MID(Mail!$A3,FIND("yokohama",Mail!$A3)+LEN("yokohama")+1,FIND("件目",Mail!$A3,FIND("yokohama",Mail!$A3))-(FIND("yokohama",Mail!$A3)+LEN("yokohama")+1)))," ",""))</f>
        <v>2</v>
      </c>
      <c r="C5" s="9" t="str">
        <f t="shared" si="0"/>
        <v>252-0215</v>
      </c>
      <c r="D5" s="9" t="str">
        <f t="shared" ref="D5:D68" si="2">IF($A5="","",$G5&amp;"("&amp;IF($H5="",$I5,$H5)&amp;")")</f>
        <v>久利須 真寿(クリス マス)</v>
      </c>
      <c r="E5" s="8" t="str">
        <f t="shared" ref="E5:E68" si="3">IF($S5="住所と同じ",$P5&amp;$Q5&amp;IF($R5="",""," "&amp;R5),$U5&amp;$V5)</f>
        <v>神奈川県相模原市中央区氷川町１－１ リバー1102</v>
      </c>
      <c r="F5" s="8" t="str">
        <f>TRIM(CLEAN(IF(ISERROR(FIND(F$2,Mail!$A3)),"",MID(Mail!$A3,FIND(F$2,Mail!$A3)+LEN(F$2)+1,IF(ISERROR(FIND("■",Mail!$A3,FIND(F$2,Mail!$A3)+LEN(F$2))-FIND(F$2,Mail!$A3)-LEN(F$2)),LEN(Mail!$A3)-60-FIND(F$2,Mail!$A3)-LEN(F$2),FIND("■",Mail!$A3,FIND(F$2,Mail!$A3)+LEN(F$2))-FIND(F$2,Mail!$A3)-LEN(F$2)-1)))))</f>
        <v>xmas@i.softbank.jp</v>
      </c>
      <c r="G5" s="8" t="str">
        <f>TRIM(CLEAN(IF(ISERROR(FIND(G$2,Mail!$A3)),"",MID(Mail!$A3,FIND(G$2,Mail!$A3)+LEN(G$2)+1,IF(ISERROR(FIND("■",Mail!$A3,FIND(G$2,Mail!$A3)+LEN(G$2))-FIND(G$2,Mail!$A3)-LEN(G$2)),LEN(Mail!$A3)-60-FIND(G$2,Mail!$A3)-LEN(G$2),FIND("■",Mail!$A3,FIND(G$2,Mail!$A3)+LEN(G$2))-FIND(G$2,Mail!$A3)-LEN(G$2)-1)))))</f>
        <v>久利須 真寿</v>
      </c>
      <c r="H5" s="8" t="str">
        <f>TRIM(CLEAN(IF(ISERROR(FIND(H$2,Mail!$A3)),"",MID(Mail!$A3,FIND(H$2,Mail!$A3)+LEN(H$2)+1,IF(ISERROR(FIND("■",Mail!$A3,FIND(H$2,Mail!$A3)+LEN(H$2))-FIND(H$2,Mail!$A3)-LEN(H$2)),LEN(Mail!$A3)-60-FIND(H$2,Mail!$A3)-LEN(H$2),FIND("■",Mail!$A3,FIND(H$2,Mail!$A3)+LEN(H$2))-FIND(H$2,Mail!$A3)-LEN(H$2)-1)))))</f>
        <v>クリス マス</v>
      </c>
      <c r="I5" s="8" t="str">
        <f>TRIM(CLEAN(IF(ISERROR(FIND(I$2,Mail!$A3)),"",MID(Mail!$A3,FIND(I$2,Mail!$A3)+LEN(I$2)+1,IF(ISERROR(FIND("■",Mail!$A3,FIND(I$2,Mail!$A3)+LEN(I$2))-FIND(I$2,Mail!$A3)-LEN(I$2)),LEN(Mail!$A3)-60-FIND(I$2,Mail!$A3)-LEN(I$2),FIND("■",Mail!$A3,FIND(I$2,Mail!$A3)+LEN(I$2))-FIND(I$2,Mail!$A3)-LEN(I$2)-1)))))</f>
        <v/>
      </c>
      <c r="J5" s="8" t="str">
        <f>TRIM(IF(ISERROR(FIND(J$2,Mail!$A3)),"",MID(Mail!$A3,FIND(J$2,Mail!$A3)+LEN(J$2)+1,IF(ISERROR(FIND("■",Mail!$A3,FIND(J$2,Mail!$A3)+LEN(J$2))-FIND(J$2,Mail!$A3)-LEN(J$2)),LEN(Mail!$A3)-60-FIND(J$2,Mail!$A3)-LEN(J$2),FIND("■",Mail!$A3,FIND(J$2,Mail!$A3)+LEN(J$2))-FIND(J$2,Mail!$A3)-LEN(J$2)-1))))</f>
        <v xml:space="preserve">(1人目) 名前「聖」フリガナ「ヒジリ」年齢「4歳」性別「女」 性格「元気で明るい子 サンタさんを信じて待ちわびている」
(2人目) 名前「聖来」フリガナ「セイラ」年齢「0歳10ヶ月」性別「女」 性格「人なつっこい」
</v>
      </c>
      <c r="K5" s="8" t="str">
        <f>TRIM(IF(ISERROR(FIND(K$2,Mail!$A3)),"",MID(Mail!$A3,FIND(K$2,Mail!$A3)+LEN(K$2)+1,IF(ISERROR(FIND("■",Mail!$A3,FIND(K$2,Mail!$A3)+LEN(K$2))-FIND(K$2,Mail!$A3)-LEN(K$2)),LEN(Mail!$A3)-60-FIND(K$2,Mail!$A3)-LEN(K$2),FIND("■",Mail!$A3,FIND(K$2,Mail!$A3)+LEN(K$2))-FIND(K$2,Mail!$A3)-LEN(K$2)-1))))</f>
        <v xml:space="preserve">(1人目) 名前「ヒジリ」メッセージ「いつもセイラちゃんの面倒をみて，優しいお姉ちゃんでえらいね。」
(2人目) 名前「セイラ」メッセージ「いつも笑顔でありがとう。」
</v>
      </c>
      <c r="L5" s="8" t="str">
        <f>TRIM(IF(ISERROR(FIND(L$2,Mail!$A3)),"",MID(Mail!$A3,FIND(L$2,Mail!$A3)+LEN(L$2)+1,IF(ISERROR(FIND("■",Mail!$A3,FIND(L$2,Mail!$A3)+LEN(L$2))-FIND(L$2,Mail!$A3)-LEN(L$2)),LEN(Mail!$A3)-60-FIND(L$2,Mail!$A3)-LEN(L$2),FIND("■",Mail!$A3,FIND(L$2,Mail!$A3)+LEN(L$2))-FIND(L$2,Mail!$A3)-LEN(L$2)-1))))</f>
        <v xml:space="preserve">(1人目) 名前「ヒジリ」メッセージ「お片付けをできるようになろうね」
(2人目) 名前「セイラ」メッセージ「たくさん食べて大きくなってね」
</v>
      </c>
      <c r="M5" s="8" t="str">
        <f>TRIM(CLEAN(IF(ISERROR(FIND(M$2,Mail!$A3)),"",MID(Mail!$A3,FIND(M$2,Mail!$A3)+LEN(M$2)+1,IF(ISERROR(FIND("■",Mail!$A3,FIND(M$2,Mail!$A3)+LEN(M$2))-FIND(M$2,Mail!$A3)-LEN(M$2)),LEN(Mail!$A3)-60-FIND(M$2,Mail!$A3)-LEN(M$2),FIND("■",Mail!$A3,FIND(M$2,Mail!$A3)+LEN(M$2))-FIND(M$2,Mail!$A3)-LEN(M$2)-1)))))</f>
        <v>xmas@i.softbank.jp</v>
      </c>
      <c r="N5" s="8" t="str">
        <f>TRIM(CLEAN(IF(ISERROR(FIND(N$2,Mail!$A3)),"",MID(Mail!$A3,FIND(N$2,Mail!$A3)+LEN(N$2)+1,IF(ISERROR(FIND("■",Mail!$A3,FIND(N$2,Mail!$A3)+LEN(N$2))-FIND(N$2,Mail!$A3)-LEN(N$2)),LEN(Mail!$A3)-60-FIND(N$2,Mail!$A3)-LEN(N$2),FIND("■",Mail!$A3,FIND(N$2,Mail!$A3)+LEN(N$2))-FIND(N$2,Mail!$A3)-LEN(N$2)-1)))))</f>
        <v>0904567890</v>
      </c>
      <c r="O5" s="8" t="str">
        <f>TRIM(CLEAN(IF(ISERROR(FIND(O$2,Mail!$A3)),"",MID(Mail!$A3,FIND(O$2,Mail!$A3)+LEN(O$2)+1,IF(ISERROR(FIND("■",Mail!$A3,FIND(O$2,Mail!$A3)+LEN(O$2))-FIND(O$2,Mail!$A3)-LEN(O$2)),LEN(Mail!$A3)-60-FIND(O$2,Mail!$A3)-LEN(O$2),FIND("■",Mail!$A3,FIND(O$2,Mail!$A3)+LEN(O$2))-FIND(O$2,Mail!$A3)-LEN(O$2)-1)))))</f>
        <v>252-0215</v>
      </c>
      <c r="P5" s="8" t="str">
        <f>TRIM(CLEAN(IF(ISERROR(FIND(P$2,Mail!$A3)),"",MID(Mail!$A3,FIND(P$2,Mail!$A3)+LEN(P$2)+1,IF(ISERROR(FIND("■",Mail!$A3,FIND(P$2,Mail!$A3)+LEN(P$2))-FIND(P$2,Mail!$A3)-LEN(P$2)),LEN(Mail!$A3)-60-FIND(P$2,Mail!$A3)-LEN(P$2),FIND("■",Mail!$A3,FIND(P$2,Mail!$A3)+LEN(P$2))-FIND(P$2,Mail!$A3)-LEN(P$2)-1)))))</f>
        <v>神奈川県</v>
      </c>
      <c r="Q5" s="8" t="str">
        <f>TRIM(CLEAN(IF(ISERROR(FIND(Q$2,Mail!$A3)),"",MID(Mail!$A3,FIND(Q$2,Mail!$A3)+LEN(Q$2)+1,IF(ISERROR(FIND("■",Mail!$A3,FIND(Q$2,Mail!$A3)+LEN(Q$2))-FIND(Q$2,Mail!$A3)-LEN(Q$2)),LEN(Mail!$A3)-60-FIND(Q$2,Mail!$A3)-LEN(Q$2),FIND("■",Mail!$A3,FIND(Q$2,Mail!$A3)+LEN(Q$2))-FIND(Q$2,Mail!$A3)-LEN(Q$2)-1)))))</f>
        <v>相模原市中央区氷川町１－１</v>
      </c>
      <c r="R5" s="8" t="str">
        <f>TRIM(CLEAN(IF(ISERROR(FIND(R$2,Mail!$A3)),"",MID(Mail!$A3,FIND(R$2,Mail!$A3)+LEN(R$2)+1,IF(ISERROR(FIND("■",Mail!$A3,FIND(R$2,Mail!$A3)+LEN(R$2))-FIND(R$2,Mail!$A3)-LEN(R$2)),LEN(Mail!$A3)-60-FIND(R$2,Mail!$A3)-LEN(R$2),FIND("■",Mail!$A3,FIND(R$2,Mail!$A3)+LEN(R$2))-FIND(R$2,Mail!$A3)-LEN(R$2)-1)))))</f>
        <v>リバー1102</v>
      </c>
      <c r="S5" s="8" t="str">
        <f>TRIM(CLEAN(IF(ISERROR(FIND(S$2,Mail!$A3)),"",MID(Mail!$A3,FIND(S$2,Mail!$A3)+LEN(S$2)+1,IF(ISERROR(FIND("■",Mail!$A3,FIND(S$2,Mail!$A3)+LEN(S$2))-FIND(S$2,Mail!$A3)-LEN(S$2)),LEN(Mail!$A3)-60-FIND(S$2,Mail!$A3)-LEN(S$2),FIND("■",Mail!$A3,FIND(S$2,Mail!$A3)+LEN(S$2))-FIND(S$2,Mail!$A3)-LEN(S$2)-1)))))</f>
        <v>住所と同じ</v>
      </c>
      <c r="T5" s="8" t="str">
        <f>TRIM(CLEAN(IF(ISERROR(FIND(T$2,Mail!$A3)),"",MID(Mail!$A3,FIND(T$2,Mail!$A3)+LEN(T$2)+1,IF(ISERROR(FIND("■",Mail!$A3,FIND(T$2,Mail!$A3)+LEN(T$2))-FIND(T$2,Mail!$A3)-LEN(T$2)),LEN(Mail!$A3)-60-FIND(T$2,Mail!$A3)-LEN(T$2),FIND("■",Mail!$A3,FIND(T$2,Mail!$A3)+LEN(T$2))-FIND(T$2,Mail!$A3)-LEN(T$2)-1)))))</f>
        <v/>
      </c>
      <c r="U5" s="8" t="str">
        <f>TRIM(CLEAN(IF(ISERROR(FIND(U$2,Mail!$A3)),"",MID(Mail!$A3,FIND(U$2,Mail!$A3)+LEN(U$2)+1,IF(ISERROR(FIND("■",Mail!$A3,FIND(U$2,Mail!$A3)+LEN(U$2))-FIND(U$2,Mail!$A3)-LEN(U$2)),LEN(Mail!$A3)-60-FIND(U$2,Mail!$A3)-LEN(U$2),FIND("■",Mail!$A3,FIND(U$2,Mail!$A3)+LEN(U$2))-FIND(U$2,Mail!$A3)-LEN(U$2)-1)))))</f>
        <v/>
      </c>
      <c r="V5" s="8" t="str">
        <f>TRIM(CLEAN(IF(ISERROR(FIND(V$2,Mail!$A3)),"",MID(Mail!$A3,FIND(V$2,Mail!$A3)+LEN(V$2)+1,IF(ISERROR(FIND("■",Mail!$A3,FIND(V$2,Mail!$A3)+LEN(V$2))-FIND(V$2,Mail!$A3)-LEN(V$2)),LEN(Mail!$A3)-60-FIND(V$2,Mail!$A3)-LEN(V$2),FIND("■",Mail!$A3,FIND(V$2,Mail!$A3)+LEN(V$2))-FIND(V$2,Mail!$A3)-LEN(V$2)-1)))))</f>
        <v/>
      </c>
      <c r="W5" s="8" t="str">
        <f>TRIM(CLEAN(IF(ISERROR(FIND(W$2,Mail!$A3)),"",MID(Mail!$A3,FIND(W$2,Mail!$A3)+LEN(W$2)+1,IF(ISERROR(FIND("■",Mail!$A3,FIND(W$2,Mail!$A3)+LEN(W$2))-FIND(W$2,Mail!$A3)-LEN(W$2)),LEN(Mail!$A3)-60-FIND(W$2,Mail!$A3)-LEN(W$2),FIND("■",Mail!$A3,FIND(W$2,Mail!$A3)+LEN(W$2))-FIND(W$2,Mail!$A3)-LEN(W$2)-1)))))</f>
        <v>久利須</v>
      </c>
      <c r="X5" s="8" t="str">
        <f>TRIM(IF(ISERROR(FIND(X$2,Mail!$A3)),"",MID(Mail!$A3,FIND(X$2,Mail!$A3)+LEN(X$2)+1,IF(ISERROR(FIND("■",Mail!$A3,FIND(X$2,Mail!$A3)+LEN(X$2))-FIND(X$2,Mail!$A3)-LEN(X$2)),LEN(Mail!$A3)-60-FIND(X$2,Mail!$A3)-LEN(X$2),FIND("■",Mail!$A3,FIND(X$2,Mail!$A3)+LEN(X$2))-FIND(X$2,Mail!$A3)-LEN(X$2)-1))))</f>
        <v xml:space="preserve">最寄り駅:相模原駅
 最寄り駅からの徒歩の所要時間:10分弱
 自宅の特徴:明るい青色の25階建マンション，駅よりのお隣もマンションで50階建です。
</v>
      </c>
      <c r="Y5" s="8" t="str">
        <f>TRIM(CLEAN(IF(ISERROR(FIND(Y$2,Mail!$A3)),"",MID(Mail!$A3,FIND(Y$2,Mail!$A3)+LEN(Y$2)+1,IF(ISERROR(FIND("■",Mail!$A3,FIND(Y$2,Mail!$A3)+LEN(Y$2))-FIND(Y$2,Mail!$A3)-LEN(Y$2)),LEN(Mail!$A3)-60-FIND(Y$2,Mail!$A3)-LEN(Y$2),FIND("■",Mail!$A3,FIND(Y$2,Mail!$A3)+LEN(Y$2))-FIND(Y$2,Mail!$A3)-LEN(Y$2)-1)))))</f>
        <v>携帯(固定)電話への通話</v>
      </c>
      <c r="Z5" s="8" t="str">
        <f>TRIM(CLEAN(IF(ISERROR(FIND(Z$2,Mail!$A3)),"",MID(Mail!$A3,FIND(Z$2,Mail!$A3)+LEN(Z$2)+1,IF(ISERROR(FIND("■",Mail!$A3,FIND(Z$2,Mail!$A3)+LEN(Z$2))-FIND(Z$2,Mail!$A3)-LEN(Z$2)),LEN(Mail!$A3)-60-FIND(Z$2,Mail!$A3)-LEN(Z$2),FIND("■",Mail!$A3,FIND(Z$2,Mail!$A3)+LEN(Z$2))-FIND(Z$2,Mail!$A3)-LEN(Z$2)-1)))))</f>
        <v>19:00-20:00</v>
      </c>
      <c r="AA5" s="8" t="str">
        <f>TRIM(CLEAN(IF(ISERROR(FIND(AA$2,Mail!$A3)),"",MID(Mail!$A3,FIND(AA$2,Mail!$A3)+LEN(AA$2)+1,IF(ISERROR(FIND("■",Mail!$A3,FIND(AA$2,Mail!$A3)+LEN(AA$2))-FIND(AA$2,Mail!$A3)-LEN(AA$2)),LEN(Mail!$A3)-60-FIND(AA$2,Mail!$A3)-LEN(AA$2),FIND("■",Mail!$A3,FIND(AA$2,Mail!$A3)+LEN(AA$2))-FIND(AA$2,Mail!$A3)-LEN(AA$2)-1)))))</f>
        <v>18:00-19:00</v>
      </c>
      <c r="AB5" s="8" t="str">
        <f>TRIM(CLEAN(IF(ISERROR(FIND(AB$2,Mail!$A3)),"",MID(Mail!$A3,FIND(AB$2,Mail!$A3)+LEN(AB$2)+1,IF(ISERROR(FIND("■",Mail!$A3,FIND(AB$2,Mail!$A3)+LEN(AB$2))-FIND(AB$2,Mail!$A3)-LEN(AB$2)),LEN(Mail!$A3)-60-FIND(AB$2,Mail!$A3)-LEN(AB$2),FIND("■",Mail!$A3,FIND(AB$2,Mail!$A3)+LEN(AB$2))-FIND(AB$2,Mail!$A3)-LEN(AB$2)-1)))))</f>
        <v>まだわからない</v>
      </c>
      <c r="AC5" s="8" t="str">
        <f>TRIM(CLEAN(IF(ISERROR(FIND(AC$2,Mail!$A3)),"",MID(Mail!$A3,FIND(AC$2,Mail!$A3)+LEN(AC$2)+1,IF(ISERROR(FIND("■",Mail!$A3,FIND(AC$2,Mail!$A3)+LEN(AC$2))-FIND(AC$2,Mail!$A3)-LEN(AC$2)),LEN(Mail!$A3)-60-FIND(AC$2,Mail!$A3)-LEN(AC$2),FIND("■",Mail!$A3,FIND(AC$2,Mail!$A3)+LEN(AC$2))-FIND(AC$2,Mail!$A3)-LEN(AC$2)-1)))))</f>
        <v>どちらでも構わない</v>
      </c>
      <c r="AD5" s="8" t="str">
        <f>TRIM(CLEAN(IF(ISERROR(FIND(AD$2,Mail!$A3)),"",MID(Mail!$A3,FIND(AD$2,Mail!$A3)+LEN(AD$2)+1,IF(ISERROR(FIND("■",Mail!$A3,FIND(AD$2,Mail!$A3)+LEN(AD$2))-FIND(AD$2,Mail!$A3)-LEN(AD$2)),LEN(Mail!$A3)-60-FIND(AD$2,Mail!$A3)-LEN(AD$2),FIND("■",Mail!$A3,FIND(AD$2,Mail!$A3)+LEN(AD$2))-FIND(AD$2,Mail!$A3)-LEN(AD$2)-1)))))</f>
        <v/>
      </c>
      <c r="AE5" s="8" t="str">
        <f>TRIM(CLEAN(IF(ISERROR(FIND(AE$2,Mail!$A3)),"",MID(Mail!$A3,FIND(AE$2,Mail!$A3)+LEN(AE$2)+1,IF(ISERROR(FIND("■",Mail!$A3,FIND(AE$2,Mail!$A3)+LEN(AE$2))-FIND(AE$2,Mail!$A3)-LEN(AE$2)),LEN(Mail!$A3)-60-FIND(AE$2,Mail!$A3)-LEN(AE$2),FIND("■",Mail!$A3,FIND(AE$2,Mail!$A3)+LEN(AE$2))-FIND(AE$2,Mail!$A3)-LEN(AE$2)-1)))))</f>
        <v>同意する</v>
      </c>
      <c r="AF5" s="8" t="str">
        <f>TRIM(CLEAN(IF(ISERROR(FIND(AF$2,Mail!$A3)),"",MID(Mail!$A3,FIND(AF$2,Mail!$A3)+LEN(AF$2)+1,IF(ISERROR(FIND("■",Mail!$A3,FIND(AF$2,Mail!$A3)+LEN(AF$2))-FIND(AF$2,Mail!$A3)-LEN(AF$2)),LEN(Mail!$A3)-60-FIND(AF$2,Mail!$A3)-LEN(AF$2),FIND("■",Mail!$A3,FIND(AF$2,Mail!$A3)+LEN(AF$2))-FIND(AF$2,Mail!$A3)-LEN(AF$2)-1)))))</f>
        <v>初めて</v>
      </c>
      <c r="AG5" s="8" t="str">
        <f>TRIM(IF(ISERROR(FIND(AG$2,Mail!$A3)),"",MID(Mail!$A3,FIND(AG$2,Mail!$A3)+LEN(AG$2)+1,IF(ISERROR(FIND("■",Mail!$A3,FIND(AG$2,Mail!$A3)+LEN(AG$2))-FIND(AG$2,Mail!$A3)-LEN(AG$2)),LEN(Mail!$A3)-60-FIND(AG$2,Mail!$A3)-LEN(AG$2),FIND("■",Mail!$A3,FIND(AG$2,Mail!$A3)+LEN(AG$2))-FIND(AG$2,Mail!$A3)-LEN(AG$2)-1))))</f>
        <v xml:space="preserve">facebook
</v>
      </c>
      <c r="AH5" s="8" t="str">
        <f>TRIM(IF(ISERROR(FIND(AH$2,Mail!$A3)),"",MID(Mail!$A3,FIND(AH$2,Mail!$A3)+LEN(AH$2)+1,IF(ISERROR(FIND("■",Mail!$A3,FIND(AH$2,Mail!$A3)+LEN(AH$2))-FIND(AH$2,Mail!$A3)-LEN(AH$2)),LEN(Mail!$A3)-60-FIND(AH$2,Mail!$A3)-LEN(AH$2),FIND("■",Mail!$A3,FIND(AH$2,Mail!$A3)+LEN(AH$2))-FIND(AH$2,Mail!$A3)-LEN(AH$2)-1))))</f>
        <v>友人がFacebookに投稿していて初めて知りました。素敵なチャリティーですね。子ども</v>
      </c>
      <c r="AI5" s="8" t="str">
        <f>TRIM(IF(ISERROR(FIND(AI$2,Mail!$A3)),"",MID(Mail!$A3,FIND(AI$2,Mail!$A3)+LEN(AI$2)+1,IF(ISERROR(FIND("■",Mail!$A3,FIND(AI$2,Mail!$A3)+LEN(AI$2))-FIND(AI$2,Mail!$A3)-LEN(AI$2)),LEN(Mail!$A3)-60-FIND(AI$2,Mail!$A3)-LEN(AI$2),FIND("■",Mail!$A3,FIND(AI$2,Mail!$A3)+LEN(AI$2))-FIND(AI$2,Mail!$A3)-LEN(AI$2)-1))))</f>
        <v/>
      </c>
    </row>
    <row r="6" spans="1:35" s="8" customFormat="1" x14ac:dyDescent="0.15">
      <c r="A6" s="9" t="str">
        <f t="shared" si="1"/>
        <v/>
      </c>
      <c r="B6" s="8" t="str">
        <f>CLEAN(SUBSTITUTE(IF(ISERROR(FIND("yokohama",Mail!$A4)),"",MID(Mail!$A4,FIND("yokohama",Mail!$A4)+LEN("yokohama")+1,FIND("件目",Mail!$A4,FIND("yokohama",Mail!$A4))-(FIND("yokohama",Mail!$A4)+LEN("yokohama")+1)))," ",""))</f>
        <v/>
      </c>
      <c r="C6" s="9" t="str">
        <f t="shared" si="0"/>
        <v/>
      </c>
      <c r="D6" s="9" t="str">
        <f t="shared" si="2"/>
        <v/>
      </c>
      <c r="E6" s="8" t="str">
        <f t="shared" si="3"/>
        <v/>
      </c>
      <c r="F6" s="8" t="str">
        <f>TRIM(CLEAN(IF(ISERROR(FIND(F$2,Mail!$A4)),"",MID(Mail!$A4,FIND(F$2,Mail!$A4)+LEN(F$2)+1,IF(ISERROR(FIND("■",Mail!$A4,FIND(F$2,Mail!$A4)+LEN(F$2))-FIND(F$2,Mail!$A4)-LEN(F$2)),LEN(Mail!$A4)-60-FIND(F$2,Mail!$A4)-LEN(F$2),FIND("■",Mail!$A4,FIND(F$2,Mail!$A4)+LEN(F$2))-FIND(F$2,Mail!$A4)-LEN(F$2)-1)))))</f>
        <v/>
      </c>
      <c r="G6" s="8" t="str">
        <f>TRIM(CLEAN(IF(ISERROR(FIND(G$2,Mail!$A4)),"",MID(Mail!$A4,FIND(G$2,Mail!$A4)+LEN(G$2)+1,IF(ISERROR(FIND("■",Mail!$A4,FIND(G$2,Mail!$A4)+LEN(G$2))-FIND(G$2,Mail!$A4)-LEN(G$2)),LEN(Mail!$A4)-60-FIND(G$2,Mail!$A4)-LEN(G$2),FIND("■",Mail!$A4,FIND(G$2,Mail!$A4)+LEN(G$2))-FIND(G$2,Mail!$A4)-LEN(G$2)-1)))))</f>
        <v/>
      </c>
      <c r="H6" s="8" t="str">
        <f>TRIM(CLEAN(IF(ISERROR(FIND(H$2,Mail!$A4)),"",MID(Mail!$A4,FIND(H$2,Mail!$A4)+LEN(H$2)+1,IF(ISERROR(FIND("■",Mail!$A4,FIND(H$2,Mail!$A4)+LEN(H$2))-FIND(H$2,Mail!$A4)-LEN(H$2)),LEN(Mail!$A4)-60-FIND(H$2,Mail!$A4)-LEN(H$2),FIND("■",Mail!$A4,FIND(H$2,Mail!$A4)+LEN(H$2))-FIND(H$2,Mail!$A4)-LEN(H$2)-1)))))</f>
        <v/>
      </c>
      <c r="I6" s="8" t="str">
        <f>TRIM(CLEAN(IF(ISERROR(FIND(I$2,Mail!$A4)),"",MID(Mail!$A4,FIND(I$2,Mail!$A4)+LEN(I$2)+1,IF(ISERROR(FIND("■",Mail!$A4,FIND(I$2,Mail!$A4)+LEN(I$2))-FIND(I$2,Mail!$A4)-LEN(I$2)),LEN(Mail!$A4)-60-FIND(I$2,Mail!$A4)-LEN(I$2),FIND("■",Mail!$A4,FIND(I$2,Mail!$A4)+LEN(I$2))-FIND(I$2,Mail!$A4)-LEN(I$2)-1)))))</f>
        <v/>
      </c>
      <c r="J6" s="8" t="str">
        <f>TRIM(IF(ISERROR(FIND(J$2,Mail!$A4)),"",MID(Mail!$A4,FIND(J$2,Mail!$A4)+LEN(J$2)+1,IF(ISERROR(FIND("■",Mail!$A4,FIND(J$2,Mail!$A4)+LEN(J$2))-FIND(J$2,Mail!$A4)-LEN(J$2)),LEN(Mail!$A4)-60-FIND(J$2,Mail!$A4)-LEN(J$2),FIND("■",Mail!$A4,FIND(J$2,Mail!$A4)+LEN(J$2))-FIND(J$2,Mail!$A4)-LEN(J$2)-1))))</f>
        <v/>
      </c>
      <c r="K6" s="8" t="str">
        <f>TRIM(IF(ISERROR(FIND(K$2,Mail!$A4)),"",MID(Mail!$A4,FIND(K$2,Mail!$A4)+LEN(K$2)+1,IF(ISERROR(FIND("■",Mail!$A4,FIND(K$2,Mail!$A4)+LEN(K$2))-FIND(K$2,Mail!$A4)-LEN(K$2)),LEN(Mail!$A4)-60-FIND(K$2,Mail!$A4)-LEN(K$2),FIND("■",Mail!$A4,FIND(K$2,Mail!$A4)+LEN(K$2))-FIND(K$2,Mail!$A4)-LEN(K$2)-1))))</f>
        <v/>
      </c>
      <c r="L6" s="8" t="str">
        <f>TRIM(IF(ISERROR(FIND(L$2,Mail!$A4)),"",MID(Mail!$A4,FIND(L$2,Mail!$A4)+LEN(L$2)+1,IF(ISERROR(FIND("■",Mail!$A4,FIND(L$2,Mail!$A4)+LEN(L$2))-FIND(L$2,Mail!$A4)-LEN(L$2)),LEN(Mail!$A4)-60-FIND(L$2,Mail!$A4)-LEN(L$2),FIND("■",Mail!$A4,FIND(L$2,Mail!$A4)+LEN(L$2))-FIND(L$2,Mail!$A4)-LEN(L$2)-1))))</f>
        <v/>
      </c>
      <c r="M6" s="8" t="str">
        <f>TRIM(CLEAN(IF(ISERROR(FIND(M$2,Mail!$A4)),"",MID(Mail!$A4,FIND(M$2,Mail!$A4)+LEN(M$2)+1,IF(ISERROR(FIND("■",Mail!$A4,FIND(M$2,Mail!$A4)+LEN(M$2))-FIND(M$2,Mail!$A4)-LEN(M$2)),LEN(Mail!$A4)-60-FIND(M$2,Mail!$A4)-LEN(M$2),FIND("■",Mail!$A4,FIND(M$2,Mail!$A4)+LEN(M$2))-FIND(M$2,Mail!$A4)-LEN(M$2)-1)))))</f>
        <v/>
      </c>
      <c r="N6" s="8" t="str">
        <f>TRIM(CLEAN(IF(ISERROR(FIND(N$2,Mail!$A4)),"",MID(Mail!$A4,FIND(N$2,Mail!$A4)+LEN(N$2)+1,IF(ISERROR(FIND("■",Mail!$A4,FIND(N$2,Mail!$A4)+LEN(N$2))-FIND(N$2,Mail!$A4)-LEN(N$2)),LEN(Mail!$A4)-60-FIND(N$2,Mail!$A4)-LEN(N$2),FIND("■",Mail!$A4,FIND(N$2,Mail!$A4)+LEN(N$2))-FIND(N$2,Mail!$A4)-LEN(N$2)-1)))))</f>
        <v/>
      </c>
      <c r="O6" s="8" t="str">
        <f>TRIM(CLEAN(IF(ISERROR(FIND(O$2,Mail!$A4)),"",MID(Mail!$A4,FIND(O$2,Mail!$A4)+LEN(O$2)+1,IF(ISERROR(FIND("■",Mail!$A4,FIND(O$2,Mail!$A4)+LEN(O$2))-FIND(O$2,Mail!$A4)-LEN(O$2)),LEN(Mail!$A4)-60-FIND(O$2,Mail!$A4)-LEN(O$2),FIND("■",Mail!$A4,FIND(O$2,Mail!$A4)+LEN(O$2))-FIND(O$2,Mail!$A4)-LEN(O$2)-1)))))</f>
        <v/>
      </c>
      <c r="P6" s="8" t="str">
        <f>TRIM(CLEAN(IF(ISERROR(FIND(P$2,Mail!$A4)),"",MID(Mail!$A4,FIND(P$2,Mail!$A4)+LEN(P$2)+1,IF(ISERROR(FIND("■",Mail!$A4,FIND(P$2,Mail!$A4)+LEN(P$2))-FIND(P$2,Mail!$A4)-LEN(P$2)),LEN(Mail!$A4)-60-FIND(P$2,Mail!$A4)-LEN(P$2),FIND("■",Mail!$A4,FIND(P$2,Mail!$A4)+LEN(P$2))-FIND(P$2,Mail!$A4)-LEN(P$2)-1)))))</f>
        <v/>
      </c>
      <c r="Q6" s="8" t="str">
        <f>TRIM(CLEAN(IF(ISERROR(FIND(Q$2,Mail!$A4)),"",MID(Mail!$A4,FIND(Q$2,Mail!$A4)+LEN(Q$2)+1,IF(ISERROR(FIND("■",Mail!$A4,FIND(Q$2,Mail!$A4)+LEN(Q$2))-FIND(Q$2,Mail!$A4)-LEN(Q$2)),LEN(Mail!$A4)-60-FIND(Q$2,Mail!$A4)-LEN(Q$2),FIND("■",Mail!$A4,FIND(Q$2,Mail!$A4)+LEN(Q$2))-FIND(Q$2,Mail!$A4)-LEN(Q$2)-1)))))</f>
        <v/>
      </c>
      <c r="R6" s="8" t="str">
        <f>TRIM(CLEAN(IF(ISERROR(FIND(R$2,Mail!$A4)),"",MID(Mail!$A4,FIND(R$2,Mail!$A4)+LEN(R$2)+1,IF(ISERROR(FIND("■",Mail!$A4,FIND(R$2,Mail!$A4)+LEN(R$2))-FIND(R$2,Mail!$A4)-LEN(R$2)),LEN(Mail!$A4)-60-FIND(R$2,Mail!$A4)-LEN(R$2),FIND("■",Mail!$A4,FIND(R$2,Mail!$A4)+LEN(R$2))-FIND(R$2,Mail!$A4)-LEN(R$2)-1)))))</f>
        <v/>
      </c>
      <c r="S6" s="8" t="str">
        <f>TRIM(CLEAN(IF(ISERROR(FIND(S$2,Mail!$A4)),"",MID(Mail!$A4,FIND(S$2,Mail!$A4)+LEN(S$2)+1,IF(ISERROR(FIND("■",Mail!$A4,FIND(S$2,Mail!$A4)+LEN(S$2))-FIND(S$2,Mail!$A4)-LEN(S$2)),LEN(Mail!$A4)-60-FIND(S$2,Mail!$A4)-LEN(S$2),FIND("■",Mail!$A4,FIND(S$2,Mail!$A4)+LEN(S$2))-FIND(S$2,Mail!$A4)-LEN(S$2)-1)))))</f>
        <v/>
      </c>
      <c r="T6" s="8" t="str">
        <f>TRIM(CLEAN(IF(ISERROR(FIND(T$2,Mail!$A4)),"",MID(Mail!$A4,FIND(T$2,Mail!$A4)+LEN(T$2)+1,IF(ISERROR(FIND("■",Mail!$A4,FIND(T$2,Mail!$A4)+LEN(T$2))-FIND(T$2,Mail!$A4)-LEN(T$2)),LEN(Mail!$A4)-60-FIND(T$2,Mail!$A4)-LEN(T$2),FIND("■",Mail!$A4,FIND(T$2,Mail!$A4)+LEN(T$2))-FIND(T$2,Mail!$A4)-LEN(T$2)-1)))))</f>
        <v/>
      </c>
      <c r="U6" s="8" t="str">
        <f>TRIM(CLEAN(IF(ISERROR(FIND(U$2,Mail!$A4)),"",MID(Mail!$A4,FIND(U$2,Mail!$A4)+LEN(U$2)+1,IF(ISERROR(FIND("■",Mail!$A4,FIND(U$2,Mail!$A4)+LEN(U$2))-FIND(U$2,Mail!$A4)-LEN(U$2)),LEN(Mail!$A4)-60-FIND(U$2,Mail!$A4)-LEN(U$2),FIND("■",Mail!$A4,FIND(U$2,Mail!$A4)+LEN(U$2))-FIND(U$2,Mail!$A4)-LEN(U$2)-1)))))</f>
        <v/>
      </c>
      <c r="V6" s="8" t="str">
        <f>TRIM(CLEAN(IF(ISERROR(FIND(V$2,Mail!$A4)),"",MID(Mail!$A4,FIND(V$2,Mail!$A4)+LEN(V$2)+1,IF(ISERROR(FIND("■",Mail!$A4,FIND(V$2,Mail!$A4)+LEN(V$2))-FIND(V$2,Mail!$A4)-LEN(V$2)),LEN(Mail!$A4)-60-FIND(V$2,Mail!$A4)-LEN(V$2),FIND("■",Mail!$A4,FIND(V$2,Mail!$A4)+LEN(V$2))-FIND(V$2,Mail!$A4)-LEN(V$2)-1)))))</f>
        <v/>
      </c>
      <c r="W6" s="8" t="str">
        <f>TRIM(CLEAN(IF(ISERROR(FIND(W$2,Mail!$A4)),"",MID(Mail!$A4,FIND(W$2,Mail!$A4)+LEN(W$2)+1,IF(ISERROR(FIND("■",Mail!$A4,FIND(W$2,Mail!$A4)+LEN(W$2))-FIND(W$2,Mail!$A4)-LEN(W$2)),LEN(Mail!$A4)-60-FIND(W$2,Mail!$A4)-LEN(W$2),FIND("■",Mail!$A4,FIND(W$2,Mail!$A4)+LEN(W$2))-FIND(W$2,Mail!$A4)-LEN(W$2)-1)))))</f>
        <v/>
      </c>
      <c r="X6" s="8" t="str">
        <f>TRIM(IF(ISERROR(FIND(X$2,Mail!$A4)),"",MID(Mail!$A4,FIND(X$2,Mail!$A4)+LEN(X$2)+1,IF(ISERROR(FIND("■",Mail!$A4,FIND(X$2,Mail!$A4)+LEN(X$2))-FIND(X$2,Mail!$A4)-LEN(X$2)),LEN(Mail!$A4)-60-FIND(X$2,Mail!$A4)-LEN(X$2),FIND("■",Mail!$A4,FIND(X$2,Mail!$A4)+LEN(X$2))-FIND(X$2,Mail!$A4)-LEN(X$2)-1))))</f>
        <v/>
      </c>
      <c r="Y6" s="8" t="str">
        <f>TRIM(CLEAN(IF(ISERROR(FIND(Y$2,Mail!$A4)),"",MID(Mail!$A4,FIND(Y$2,Mail!$A4)+LEN(Y$2)+1,IF(ISERROR(FIND("■",Mail!$A4,FIND(Y$2,Mail!$A4)+LEN(Y$2))-FIND(Y$2,Mail!$A4)-LEN(Y$2)),LEN(Mail!$A4)-60-FIND(Y$2,Mail!$A4)-LEN(Y$2),FIND("■",Mail!$A4,FIND(Y$2,Mail!$A4)+LEN(Y$2))-FIND(Y$2,Mail!$A4)-LEN(Y$2)-1)))))</f>
        <v/>
      </c>
      <c r="Z6" s="8" t="str">
        <f>TRIM(CLEAN(IF(ISERROR(FIND(Z$2,Mail!$A4)),"",MID(Mail!$A4,FIND(Z$2,Mail!$A4)+LEN(Z$2)+1,IF(ISERROR(FIND("■",Mail!$A4,FIND(Z$2,Mail!$A4)+LEN(Z$2))-FIND(Z$2,Mail!$A4)-LEN(Z$2)),LEN(Mail!$A4)-60-FIND(Z$2,Mail!$A4)-LEN(Z$2),FIND("■",Mail!$A4,FIND(Z$2,Mail!$A4)+LEN(Z$2))-FIND(Z$2,Mail!$A4)-LEN(Z$2)-1)))))</f>
        <v/>
      </c>
      <c r="AA6" s="8" t="str">
        <f>TRIM(CLEAN(IF(ISERROR(FIND(AA$2,Mail!$A4)),"",MID(Mail!$A4,FIND(AA$2,Mail!$A4)+LEN(AA$2)+1,IF(ISERROR(FIND("■",Mail!$A4,FIND(AA$2,Mail!$A4)+LEN(AA$2))-FIND(AA$2,Mail!$A4)-LEN(AA$2)),LEN(Mail!$A4)-60-FIND(AA$2,Mail!$A4)-LEN(AA$2),FIND("■",Mail!$A4,FIND(AA$2,Mail!$A4)+LEN(AA$2))-FIND(AA$2,Mail!$A4)-LEN(AA$2)-1)))))</f>
        <v/>
      </c>
      <c r="AB6" s="8" t="str">
        <f>TRIM(CLEAN(IF(ISERROR(FIND(AB$2,Mail!$A4)),"",MID(Mail!$A4,FIND(AB$2,Mail!$A4)+LEN(AB$2)+1,IF(ISERROR(FIND("■",Mail!$A4,FIND(AB$2,Mail!$A4)+LEN(AB$2))-FIND(AB$2,Mail!$A4)-LEN(AB$2)),LEN(Mail!$A4)-60-FIND(AB$2,Mail!$A4)-LEN(AB$2),FIND("■",Mail!$A4,FIND(AB$2,Mail!$A4)+LEN(AB$2))-FIND(AB$2,Mail!$A4)-LEN(AB$2)-1)))))</f>
        <v/>
      </c>
      <c r="AC6" s="8" t="str">
        <f>TRIM(CLEAN(IF(ISERROR(FIND(AC$2,Mail!$A4)),"",MID(Mail!$A4,FIND(AC$2,Mail!$A4)+LEN(AC$2)+1,IF(ISERROR(FIND("■",Mail!$A4,FIND(AC$2,Mail!$A4)+LEN(AC$2))-FIND(AC$2,Mail!$A4)-LEN(AC$2)),LEN(Mail!$A4)-60-FIND(AC$2,Mail!$A4)-LEN(AC$2),FIND("■",Mail!$A4,FIND(AC$2,Mail!$A4)+LEN(AC$2))-FIND(AC$2,Mail!$A4)-LEN(AC$2)-1)))))</f>
        <v/>
      </c>
      <c r="AD6" s="8" t="str">
        <f>TRIM(CLEAN(IF(ISERROR(FIND(AD$2,Mail!$A4)),"",MID(Mail!$A4,FIND(AD$2,Mail!$A4)+LEN(AD$2)+1,IF(ISERROR(FIND("■",Mail!$A4,FIND(AD$2,Mail!$A4)+LEN(AD$2))-FIND(AD$2,Mail!$A4)-LEN(AD$2)),LEN(Mail!$A4)-60-FIND(AD$2,Mail!$A4)-LEN(AD$2),FIND("■",Mail!$A4,FIND(AD$2,Mail!$A4)+LEN(AD$2))-FIND(AD$2,Mail!$A4)-LEN(AD$2)-1)))))</f>
        <v/>
      </c>
      <c r="AE6" s="8" t="str">
        <f>TRIM(CLEAN(IF(ISERROR(FIND(AE$2,Mail!$A4)),"",MID(Mail!$A4,FIND(AE$2,Mail!$A4)+LEN(AE$2)+1,IF(ISERROR(FIND("■",Mail!$A4,FIND(AE$2,Mail!$A4)+LEN(AE$2))-FIND(AE$2,Mail!$A4)-LEN(AE$2)),LEN(Mail!$A4)-60-FIND(AE$2,Mail!$A4)-LEN(AE$2),FIND("■",Mail!$A4,FIND(AE$2,Mail!$A4)+LEN(AE$2))-FIND(AE$2,Mail!$A4)-LEN(AE$2)-1)))))</f>
        <v/>
      </c>
      <c r="AF6" s="8" t="str">
        <f>TRIM(CLEAN(IF(ISERROR(FIND(AF$2,Mail!$A4)),"",MID(Mail!$A4,FIND(AF$2,Mail!$A4)+LEN(AF$2)+1,IF(ISERROR(FIND("■",Mail!$A4,FIND(AF$2,Mail!$A4)+LEN(AF$2))-FIND(AF$2,Mail!$A4)-LEN(AF$2)),LEN(Mail!$A4)-60-FIND(AF$2,Mail!$A4)-LEN(AF$2),FIND("■",Mail!$A4,FIND(AF$2,Mail!$A4)+LEN(AF$2))-FIND(AF$2,Mail!$A4)-LEN(AF$2)-1)))))</f>
        <v/>
      </c>
      <c r="AG6" s="8" t="str">
        <f>TRIM(IF(ISERROR(FIND(AG$2,Mail!$A4)),"",MID(Mail!$A4,FIND(AG$2,Mail!$A4)+LEN(AG$2)+1,IF(ISERROR(FIND("■",Mail!$A4,FIND(AG$2,Mail!$A4)+LEN(AG$2))-FIND(AG$2,Mail!$A4)-LEN(AG$2)),LEN(Mail!$A4)-60-FIND(AG$2,Mail!$A4)-LEN(AG$2),FIND("■",Mail!$A4,FIND(AG$2,Mail!$A4)+LEN(AG$2))-FIND(AG$2,Mail!$A4)-LEN(AG$2)-1))))</f>
        <v/>
      </c>
      <c r="AH6" s="8" t="str">
        <f>TRIM(IF(ISERROR(FIND(AH$2,Mail!$A4)),"",MID(Mail!$A4,FIND(AH$2,Mail!$A4)+LEN(AH$2)+1,IF(ISERROR(FIND("■",Mail!$A4,FIND(AH$2,Mail!$A4)+LEN(AH$2))-FIND(AH$2,Mail!$A4)-LEN(AH$2)),LEN(Mail!$A4)-60-FIND(AH$2,Mail!$A4)-LEN(AH$2),FIND("■",Mail!$A4,FIND(AH$2,Mail!$A4)+LEN(AH$2))-FIND(AH$2,Mail!$A4)-LEN(AH$2)-1))))</f>
        <v/>
      </c>
      <c r="AI6" s="8" t="str">
        <f>TRIM(IF(ISERROR(FIND(AI$2,Mail!$A4)),"",MID(Mail!$A4,FIND(AI$2,Mail!$A4)+LEN(AI$2)+1,IF(ISERROR(FIND("■",Mail!$A4,FIND(AI$2,Mail!$A4)+LEN(AI$2))-FIND(AI$2,Mail!$A4)-LEN(AI$2)),LEN(Mail!$A4)-60-FIND(AI$2,Mail!$A4)-LEN(AI$2),FIND("■",Mail!$A4,FIND(AI$2,Mail!$A4)+LEN(AI$2))-FIND(AI$2,Mail!$A4)-LEN(AI$2)-1))))</f>
        <v/>
      </c>
    </row>
    <row r="7" spans="1:35" s="8" customFormat="1" x14ac:dyDescent="0.15">
      <c r="A7" s="9" t="str">
        <f t="shared" si="1"/>
        <v/>
      </c>
      <c r="B7" s="8" t="str">
        <f>CLEAN(SUBSTITUTE(IF(ISERROR(FIND("yokohama",Mail!$A5)),"",MID(Mail!$A5,FIND("yokohama",Mail!$A5)+LEN("yokohama")+1,FIND("件目",Mail!$A5,FIND("yokohama",Mail!$A5))-(FIND("yokohama",Mail!$A5)+LEN("yokohama")+1)))," ",""))</f>
        <v/>
      </c>
      <c r="C7" s="9" t="str">
        <f t="shared" si="0"/>
        <v/>
      </c>
      <c r="D7" s="9" t="str">
        <f t="shared" si="2"/>
        <v/>
      </c>
      <c r="E7" s="8" t="str">
        <f t="shared" si="3"/>
        <v/>
      </c>
      <c r="F7" s="8" t="str">
        <f>TRIM(CLEAN(IF(ISERROR(FIND(F$2,Mail!$A5)),"",MID(Mail!$A5,FIND(F$2,Mail!$A5)+LEN(F$2)+1,IF(ISERROR(FIND("■",Mail!$A5,FIND(F$2,Mail!$A5)+LEN(F$2))-FIND(F$2,Mail!$A5)-LEN(F$2)),LEN(Mail!$A5)-60-FIND(F$2,Mail!$A5)-LEN(F$2),FIND("■",Mail!$A5,FIND(F$2,Mail!$A5)+LEN(F$2))-FIND(F$2,Mail!$A5)-LEN(F$2)-1)))))</f>
        <v/>
      </c>
      <c r="G7" s="8" t="str">
        <f>TRIM(CLEAN(IF(ISERROR(FIND(G$2,Mail!$A5)),"",MID(Mail!$A5,FIND(G$2,Mail!$A5)+LEN(G$2)+1,IF(ISERROR(FIND("■",Mail!$A5,FIND(G$2,Mail!$A5)+LEN(G$2))-FIND(G$2,Mail!$A5)-LEN(G$2)),LEN(Mail!$A5)-60-FIND(G$2,Mail!$A5)-LEN(G$2),FIND("■",Mail!$A5,FIND(G$2,Mail!$A5)+LEN(G$2))-FIND(G$2,Mail!$A5)-LEN(G$2)-1)))))</f>
        <v/>
      </c>
      <c r="H7" s="8" t="str">
        <f>TRIM(CLEAN(IF(ISERROR(FIND(H$2,Mail!$A5)),"",MID(Mail!$A5,FIND(H$2,Mail!$A5)+LEN(H$2)+1,IF(ISERROR(FIND("■",Mail!$A5,FIND(H$2,Mail!$A5)+LEN(H$2))-FIND(H$2,Mail!$A5)-LEN(H$2)),LEN(Mail!$A5)-60-FIND(H$2,Mail!$A5)-LEN(H$2),FIND("■",Mail!$A5,FIND(H$2,Mail!$A5)+LEN(H$2))-FIND(H$2,Mail!$A5)-LEN(H$2)-1)))))</f>
        <v/>
      </c>
      <c r="I7" s="8" t="str">
        <f>TRIM(CLEAN(IF(ISERROR(FIND(I$2,Mail!$A5)),"",MID(Mail!$A5,FIND(I$2,Mail!$A5)+LEN(I$2)+1,IF(ISERROR(FIND("■",Mail!$A5,FIND(I$2,Mail!$A5)+LEN(I$2))-FIND(I$2,Mail!$A5)-LEN(I$2)),LEN(Mail!$A5)-60-FIND(I$2,Mail!$A5)-LEN(I$2),FIND("■",Mail!$A5,FIND(I$2,Mail!$A5)+LEN(I$2))-FIND(I$2,Mail!$A5)-LEN(I$2)-1)))))</f>
        <v/>
      </c>
      <c r="J7" s="8" t="str">
        <f>TRIM(IF(ISERROR(FIND(J$2,Mail!$A5)),"",MID(Mail!$A5,FIND(J$2,Mail!$A5)+LEN(J$2)+1,IF(ISERROR(FIND("■",Mail!$A5,FIND(J$2,Mail!$A5)+LEN(J$2))-FIND(J$2,Mail!$A5)-LEN(J$2)),LEN(Mail!$A5)-60-FIND(J$2,Mail!$A5)-LEN(J$2),FIND("■",Mail!$A5,FIND(J$2,Mail!$A5)+LEN(J$2))-FIND(J$2,Mail!$A5)-LEN(J$2)-1))))</f>
        <v/>
      </c>
      <c r="K7" s="8" t="str">
        <f>TRIM(IF(ISERROR(FIND(K$2,Mail!$A5)),"",MID(Mail!$A5,FIND(K$2,Mail!$A5)+LEN(K$2)+1,IF(ISERROR(FIND("■",Mail!$A5,FIND(K$2,Mail!$A5)+LEN(K$2))-FIND(K$2,Mail!$A5)-LEN(K$2)),LEN(Mail!$A5)-60-FIND(K$2,Mail!$A5)-LEN(K$2),FIND("■",Mail!$A5,FIND(K$2,Mail!$A5)+LEN(K$2))-FIND(K$2,Mail!$A5)-LEN(K$2)-1))))</f>
        <v/>
      </c>
      <c r="L7" s="8" t="str">
        <f>TRIM(IF(ISERROR(FIND(L$2,Mail!$A5)),"",MID(Mail!$A5,FIND(L$2,Mail!$A5)+LEN(L$2)+1,IF(ISERROR(FIND("■",Mail!$A5,FIND(L$2,Mail!$A5)+LEN(L$2))-FIND(L$2,Mail!$A5)-LEN(L$2)),LEN(Mail!$A5)-60-FIND(L$2,Mail!$A5)-LEN(L$2),FIND("■",Mail!$A5,FIND(L$2,Mail!$A5)+LEN(L$2))-FIND(L$2,Mail!$A5)-LEN(L$2)-1))))</f>
        <v/>
      </c>
      <c r="M7" s="8" t="str">
        <f>TRIM(CLEAN(IF(ISERROR(FIND(M$2,Mail!$A5)),"",MID(Mail!$A5,FIND(M$2,Mail!$A5)+LEN(M$2)+1,IF(ISERROR(FIND("■",Mail!$A5,FIND(M$2,Mail!$A5)+LEN(M$2))-FIND(M$2,Mail!$A5)-LEN(M$2)),LEN(Mail!$A5)-60-FIND(M$2,Mail!$A5)-LEN(M$2),FIND("■",Mail!$A5,FIND(M$2,Mail!$A5)+LEN(M$2))-FIND(M$2,Mail!$A5)-LEN(M$2)-1)))))</f>
        <v/>
      </c>
      <c r="N7" s="8" t="str">
        <f>TRIM(CLEAN(IF(ISERROR(FIND(N$2,Mail!$A5)),"",MID(Mail!$A5,FIND(N$2,Mail!$A5)+LEN(N$2)+1,IF(ISERROR(FIND("■",Mail!$A5,FIND(N$2,Mail!$A5)+LEN(N$2))-FIND(N$2,Mail!$A5)-LEN(N$2)),LEN(Mail!$A5)-60-FIND(N$2,Mail!$A5)-LEN(N$2),FIND("■",Mail!$A5,FIND(N$2,Mail!$A5)+LEN(N$2))-FIND(N$2,Mail!$A5)-LEN(N$2)-1)))))</f>
        <v/>
      </c>
      <c r="O7" s="8" t="str">
        <f>TRIM(CLEAN(IF(ISERROR(FIND(O$2,Mail!$A5)),"",MID(Mail!$A5,FIND(O$2,Mail!$A5)+LEN(O$2)+1,IF(ISERROR(FIND("■",Mail!$A5,FIND(O$2,Mail!$A5)+LEN(O$2))-FIND(O$2,Mail!$A5)-LEN(O$2)),LEN(Mail!$A5)-60-FIND(O$2,Mail!$A5)-LEN(O$2),FIND("■",Mail!$A5,FIND(O$2,Mail!$A5)+LEN(O$2))-FIND(O$2,Mail!$A5)-LEN(O$2)-1)))))</f>
        <v/>
      </c>
      <c r="P7" s="8" t="str">
        <f>TRIM(CLEAN(IF(ISERROR(FIND(P$2,Mail!$A5)),"",MID(Mail!$A5,FIND(P$2,Mail!$A5)+LEN(P$2)+1,IF(ISERROR(FIND("■",Mail!$A5,FIND(P$2,Mail!$A5)+LEN(P$2))-FIND(P$2,Mail!$A5)-LEN(P$2)),LEN(Mail!$A5)-60-FIND(P$2,Mail!$A5)-LEN(P$2),FIND("■",Mail!$A5,FIND(P$2,Mail!$A5)+LEN(P$2))-FIND(P$2,Mail!$A5)-LEN(P$2)-1)))))</f>
        <v/>
      </c>
      <c r="Q7" s="8" t="str">
        <f>TRIM(CLEAN(IF(ISERROR(FIND(Q$2,Mail!$A5)),"",MID(Mail!$A5,FIND(Q$2,Mail!$A5)+LEN(Q$2)+1,IF(ISERROR(FIND("■",Mail!$A5,FIND(Q$2,Mail!$A5)+LEN(Q$2))-FIND(Q$2,Mail!$A5)-LEN(Q$2)),LEN(Mail!$A5)-60-FIND(Q$2,Mail!$A5)-LEN(Q$2),FIND("■",Mail!$A5,FIND(Q$2,Mail!$A5)+LEN(Q$2))-FIND(Q$2,Mail!$A5)-LEN(Q$2)-1)))))</f>
        <v/>
      </c>
      <c r="R7" s="8" t="str">
        <f>TRIM(CLEAN(IF(ISERROR(FIND(R$2,Mail!$A5)),"",MID(Mail!$A5,FIND(R$2,Mail!$A5)+LEN(R$2)+1,IF(ISERROR(FIND("■",Mail!$A5,FIND(R$2,Mail!$A5)+LEN(R$2))-FIND(R$2,Mail!$A5)-LEN(R$2)),LEN(Mail!$A5)-60-FIND(R$2,Mail!$A5)-LEN(R$2),FIND("■",Mail!$A5,FIND(R$2,Mail!$A5)+LEN(R$2))-FIND(R$2,Mail!$A5)-LEN(R$2)-1)))))</f>
        <v/>
      </c>
      <c r="S7" s="8" t="str">
        <f>TRIM(CLEAN(IF(ISERROR(FIND(S$2,Mail!$A5)),"",MID(Mail!$A5,FIND(S$2,Mail!$A5)+LEN(S$2)+1,IF(ISERROR(FIND("■",Mail!$A5,FIND(S$2,Mail!$A5)+LEN(S$2))-FIND(S$2,Mail!$A5)-LEN(S$2)),LEN(Mail!$A5)-60-FIND(S$2,Mail!$A5)-LEN(S$2),FIND("■",Mail!$A5,FIND(S$2,Mail!$A5)+LEN(S$2))-FIND(S$2,Mail!$A5)-LEN(S$2)-1)))))</f>
        <v/>
      </c>
      <c r="T7" s="8" t="str">
        <f>TRIM(CLEAN(IF(ISERROR(FIND(T$2,Mail!$A5)),"",MID(Mail!$A5,FIND(T$2,Mail!$A5)+LEN(T$2)+1,IF(ISERROR(FIND("■",Mail!$A5,FIND(T$2,Mail!$A5)+LEN(T$2))-FIND(T$2,Mail!$A5)-LEN(T$2)),LEN(Mail!$A5)-60-FIND(T$2,Mail!$A5)-LEN(T$2),FIND("■",Mail!$A5,FIND(T$2,Mail!$A5)+LEN(T$2))-FIND(T$2,Mail!$A5)-LEN(T$2)-1)))))</f>
        <v/>
      </c>
      <c r="U7" s="8" t="str">
        <f>TRIM(CLEAN(IF(ISERROR(FIND(U$2,Mail!$A5)),"",MID(Mail!$A5,FIND(U$2,Mail!$A5)+LEN(U$2)+1,IF(ISERROR(FIND("■",Mail!$A5,FIND(U$2,Mail!$A5)+LEN(U$2))-FIND(U$2,Mail!$A5)-LEN(U$2)),LEN(Mail!$A5)-60-FIND(U$2,Mail!$A5)-LEN(U$2),FIND("■",Mail!$A5,FIND(U$2,Mail!$A5)+LEN(U$2))-FIND(U$2,Mail!$A5)-LEN(U$2)-1)))))</f>
        <v/>
      </c>
      <c r="V7" s="8" t="str">
        <f>TRIM(CLEAN(IF(ISERROR(FIND(V$2,Mail!$A5)),"",MID(Mail!$A5,FIND(V$2,Mail!$A5)+LEN(V$2)+1,IF(ISERROR(FIND("■",Mail!$A5,FIND(V$2,Mail!$A5)+LEN(V$2))-FIND(V$2,Mail!$A5)-LEN(V$2)),LEN(Mail!$A5)-60-FIND(V$2,Mail!$A5)-LEN(V$2),FIND("■",Mail!$A5,FIND(V$2,Mail!$A5)+LEN(V$2))-FIND(V$2,Mail!$A5)-LEN(V$2)-1)))))</f>
        <v/>
      </c>
      <c r="W7" s="8" t="str">
        <f>TRIM(CLEAN(IF(ISERROR(FIND(W$2,Mail!$A5)),"",MID(Mail!$A5,FIND(W$2,Mail!$A5)+LEN(W$2)+1,IF(ISERROR(FIND("■",Mail!$A5,FIND(W$2,Mail!$A5)+LEN(W$2))-FIND(W$2,Mail!$A5)-LEN(W$2)),LEN(Mail!$A5)-60-FIND(W$2,Mail!$A5)-LEN(W$2),FIND("■",Mail!$A5,FIND(W$2,Mail!$A5)+LEN(W$2))-FIND(W$2,Mail!$A5)-LEN(W$2)-1)))))</f>
        <v/>
      </c>
      <c r="X7" s="8" t="str">
        <f>TRIM(IF(ISERROR(FIND(X$2,Mail!$A5)),"",MID(Mail!$A5,FIND(X$2,Mail!$A5)+LEN(X$2)+1,IF(ISERROR(FIND("■",Mail!$A5,FIND(X$2,Mail!$A5)+LEN(X$2))-FIND(X$2,Mail!$A5)-LEN(X$2)),LEN(Mail!$A5)-60-FIND(X$2,Mail!$A5)-LEN(X$2),FIND("■",Mail!$A5,FIND(X$2,Mail!$A5)+LEN(X$2))-FIND(X$2,Mail!$A5)-LEN(X$2)-1))))</f>
        <v/>
      </c>
      <c r="Y7" s="8" t="str">
        <f>TRIM(CLEAN(IF(ISERROR(FIND(Y$2,Mail!$A5)),"",MID(Mail!$A5,FIND(Y$2,Mail!$A5)+LEN(Y$2)+1,IF(ISERROR(FIND("■",Mail!$A5,FIND(Y$2,Mail!$A5)+LEN(Y$2))-FIND(Y$2,Mail!$A5)-LEN(Y$2)),LEN(Mail!$A5)-60-FIND(Y$2,Mail!$A5)-LEN(Y$2),FIND("■",Mail!$A5,FIND(Y$2,Mail!$A5)+LEN(Y$2))-FIND(Y$2,Mail!$A5)-LEN(Y$2)-1)))))</f>
        <v/>
      </c>
      <c r="Z7" s="8" t="str">
        <f>TRIM(CLEAN(IF(ISERROR(FIND(Z$2,Mail!$A5)),"",MID(Mail!$A5,FIND(Z$2,Mail!$A5)+LEN(Z$2)+1,IF(ISERROR(FIND("■",Mail!$A5,FIND(Z$2,Mail!$A5)+LEN(Z$2))-FIND(Z$2,Mail!$A5)-LEN(Z$2)),LEN(Mail!$A5)-60-FIND(Z$2,Mail!$A5)-LEN(Z$2),FIND("■",Mail!$A5,FIND(Z$2,Mail!$A5)+LEN(Z$2))-FIND(Z$2,Mail!$A5)-LEN(Z$2)-1)))))</f>
        <v/>
      </c>
      <c r="AA7" s="8" t="str">
        <f>TRIM(CLEAN(IF(ISERROR(FIND(AA$2,Mail!$A5)),"",MID(Mail!$A5,FIND(AA$2,Mail!$A5)+LEN(AA$2)+1,IF(ISERROR(FIND("■",Mail!$A5,FIND(AA$2,Mail!$A5)+LEN(AA$2))-FIND(AA$2,Mail!$A5)-LEN(AA$2)),LEN(Mail!$A5)-60-FIND(AA$2,Mail!$A5)-LEN(AA$2),FIND("■",Mail!$A5,FIND(AA$2,Mail!$A5)+LEN(AA$2))-FIND(AA$2,Mail!$A5)-LEN(AA$2)-1)))))</f>
        <v/>
      </c>
      <c r="AB7" s="8" t="str">
        <f>TRIM(CLEAN(IF(ISERROR(FIND(AB$2,Mail!$A5)),"",MID(Mail!$A5,FIND(AB$2,Mail!$A5)+LEN(AB$2)+1,IF(ISERROR(FIND("■",Mail!$A5,FIND(AB$2,Mail!$A5)+LEN(AB$2))-FIND(AB$2,Mail!$A5)-LEN(AB$2)),LEN(Mail!$A5)-60-FIND(AB$2,Mail!$A5)-LEN(AB$2),FIND("■",Mail!$A5,FIND(AB$2,Mail!$A5)+LEN(AB$2))-FIND(AB$2,Mail!$A5)-LEN(AB$2)-1)))))</f>
        <v/>
      </c>
      <c r="AC7" s="8" t="str">
        <f>TRIM(CLEAN(IF(ISERROR(FIND(AC$2,Mail!$A5)),"",MID(Mail!$A5,FIND(AC$2,Mail!$A5)+LEN(AC$2)+1,IF(ISERROR(FIND("■",Mail!$A5,FIND(AC$2,Mail!$A5)+LEN(AC$2))-FIND(AC$2,Mail!$A5)-LEN(AC$2)),LEN(Mail!$A5)-60-FIND(AC$2,Mail!$A5)-LEN(AC$2),FIND("■",Mail!$A5,FIND(AC$2,Mail!$A5)+LEN(AC$2))-FIND(AC$2,Mail!$A5)-LEN(AC$2)-1)))))</f>
        <v/>
      </c>
      <c r="AD7" s="8" t="str">
        <f>TRIM(CLEAN(IF(ISERROR(FIND(AD$2,Mail!$A5)),"",MID(Mail!$A5,FIND(AD$2,Mail!$A5)+LEN(AD$2)+1,IF(ISERROR(FIND("■",Mail!$A5,FIND(AD$2,Mail!$A5)+LEN(AD$2))-FIND(AD$2,Mail!$A5)-LEN(AD$2)),LEN(Mail!$A5)-60-FIND(AD$2,Mail!$A5)-LEN(AD$2),FIND("■",Mail!$A5,FIND(AD$2,Mail!$A5)+LEN(AD$2))-FIND(AD$2,Mail!$A5)-LEN(AD$2)-1)))))</f>
        <v/>
      </c>
      <c r="AE7" s="8" t="str">
        <f>TRIM(CLEAN(IF(ISERROR(FIND(AE$2,Mail!$A5)),"",MID(Mail!$A5,FIND(AE$2,Mail!$A5)+LEN(AE$2)+1,IF(ISERROR(FIND("■",Mail!$A5,FIND(AE$2,Mail!$A5)+LEN(AE$2))-FIND(AE$2,Mail!$A5)-LEN(AE$2)),LEN(Mail!$A5)-60-FIND(AE$2,Mail!$A5)-LEN(AE$2),FIND("■",Mail!$A5,FIND(AE$2,Mail!$A5)+LEN(AE$2))-FIND(AE$2,Mail!$A5)-LEN(AE$2)-1)))))</f>
        <v/>
      </c>
      <c r="AF7" s="8" t="str">
        <f>TRIM(CLEAN(IF(ISERROR(FIND(AF$2,Mail!$A5)),"",MID(Mail!$A5,FIND(AF$2,Mail!$A5)+LEN(AF$2)+1,IF(ISERROR(FIND("■",Mail!$A5,FIND(AF$2,Mail!$A5)+LEN(AF$2))-FIND(AF$2,Mail!$A5)-LEN(AF$2)),LEN(Mail!$A5)-60-FIND(AF$2,Mail!$A5)-LEN(AF$2),FIND("■",Mail!$A5,FIND(AF$2,Mail!$A5)+LEN(AF$2))-FIND(AF$2,Mail!$A5)-LEN(AF$2)-1)))))</f>
        <v/>
      </c>
      <c r="AG7" s="8" t="str">
        <f>TRIM(IF(ISERROR(FIND(AG$2,Mail!$A5)),"",MID(Mail!$A5,FIND(AG$2,Mail!$A5)+LEN(AG$2)+1,IF(ISERROR(FIND("■",Mail!$A5,FIND(AG$2,Mail!$A5)+LEN(AG$2))-FIND(AG$2,Mail!$A5)-LEN(AG$2)),LEN(Mail!$A5)-60-FIND(AG$2,Mail!$A5)-LEN(AG$2),FIND("■",Mail!$A5,FIND(AG$2,Mail!$A5)+LEN(AG$2))-FIND(AG$2,Mail!$A5)-LEN(AG$2)-1))))</f>
        <v/>
      </c>
      <c r="AH7" s="8" t="str">
        <f>TRIM(IF(ISERROR(FIND(AH$2,Mail!$A5)),"",MID(Mail!$A5,FIND(AH$2,Mail!$A5)+LEN(AH$2)+1,IF(ISERROR(FIND("■",Mail!$A5,FIND(AH$2,Mail!$A5)+LEN(AH$2))-FIND(AH$2,Mail!$A5)-LEN(AH$2)),LEN(Mail!$A5)-60-FIND(AH$2,Mail!$A5)-LEN(AH$2),FIND("■",Mail!$A5,FIND(AH$2,Mail!$A5)+LEN(AH$2))-FIND(AH$2,Mail!$A5)-LEN(AH$2)-1))))</f>
        <v/>
      </c>
      <c r="AI7" s="8" t="str">
        <f>TRIM(IF(ISERROR(FIND(AI$2,Mail!$A5)),"",MID(Mail!$A5,FIND(AI$2,Mail!$A5)+LEN(AI$2)+1,IF(ISERROR(FIND("■",Mail!$A5,FIND(AI$2,Mail!$A5)+LEN(AI$2))-FIND(AI$2,Mail!$A5)-LEN(AI$2)),LEN(Mail!$A5)-60-FIND(AI$2,Mail!$A5)-LEN(AI$2),FIND("■",Mail!$A5,FIND(AI$2,Mail!$A5)+LEN(AI$2))-FIND(AI$2,Mail!$A5)-LEN(AI$2)-1))))</f>
        <v/>
      </c>
    </row>
    <row r="8" spans="1:35" s="8" customFormat="1" x14ac:dyDescent="0.15">
      <c r="A8" s="9" t="str">
        <f t="shared" si="1"/>
        <v/>
      </c>
      <c r="B8" s="8" t="str">
        <f>CLEAN(SUBSTITUTE(IF(ISERROR(FIND("yokohama",Mail!$A6)),"",MID(Mail!$A6,FIND("yokohama",Mail!$A6)+LEN("yokohama")+1,FIND("件目",Mail!$A6,FIND("yokohama",Mail!$A6))-(FIND("yokohama",Mail!$A6)+LEN("yokohama")+1)))," ",""))</f>
        <v/>
      </c>
      <c r="C8" s="9" t="str">
        <f t="shared" si="0"/>
        <v/>
      </c>
      <c r="D8" s="9" t="str">
        <f t="shared" si="2"/>
        <v/>
      </c>
      <c r="E8" s="8" t="str">
        <f t="shared" si="3"/>
        <v/>
      </c>
      <c r="F8" s="8" t="str">
        <f>TRIM(CLEAN(IF(ISERROR(FIND(F$2,Mail!$A6)),"",MID(Mail!$A6,FIND(F$2,Mail!$A6)+LEN(F$2)+1,IF(ISERROR(FIND("■",Mail!$A6,FIND(F$2,Mail!$A6)+LEN(F$2))-FIND(F$2,Mail!$A6)-LEN(F$2)),LEN(Mail!$A6)-60-FIND(F$2,Mail!$A6)-LEN(F$2),FIND("■",Mail!$A6,FIND(F$2,Mail!$A6)+LEN(F$2))-FIND(F$2,Mail!$A6)-LEN(F$2)-1)))))</f>
        <v/>
      </c>
      <c r="G8" s="8" t="str">
        <f>TRIM(CLEAN(IF(ISERROR(FIND(G$2,Mail!$A6)),"",MID(Mail!$A6,FIND(G$2,Mail!$A6)+LEN(G$2)+1,IF(ISERROR(FIND("■",Mail!$A6,FIND(G$2,Mail!$A6)+LEN(G$2))-FIND(G$2,Mail!$A6)-LEN(G$2)),LEN(Mail!$A6)-60-FIND(G$2,Mail!$A6)-LEN(G$2),FIND("■",Mail!$A6,FIND(G$2,Mail!$A6)+LEN(G$2))-FIND(G$2,Mail!$A6)-LEN(G$2)-1)))))</f>
        <v/>
      </c>
      <c r="H8" s="8" t="str">
        <f>TRIM(CLEAN(IF(ISERROR(FIND(H$2,Mail!$A6)),"",MID(Mail!$A6,FIND(H$2,Mail!$A6)+LEN(H$2)+1,IF(ISERROR(FIND("■",Mail!$A6,FIND(H$2,Mail!$A6)+LEN(H$2))-FIND(H$2,Mail!$A6)-LEN(H$2)),LEN(Mail!$A6)-60-FIND(H$2,Mail!$A6)-LEN(H$2),FIND("■",Mail!$A6,FIND(H$2,Mail!$A6)+LEN(H$2))-FIND(H$2,Mail!$A6)-LEN(H$2)-1)))))</f>
        <v/>
      </c>
      <c r="I8" s="8" t="str">
        <f>TRIM(CLEAN(IF(ISERROR(FIND(I$2,Mail!$A6)),"",MID(Mail!$A6,FIND(I$2,Mail!$A6)+LEN(I$2)+1,IF(ISERROR(FIND("■",Mail!$A6,FIND(I$2,Mail!$A6)+LEN(I$2))-FIND(I$2,Mail!$A6)-LEN(I$2)),LEN(Mail!$A6)-60-FIND(I$2,Mail!$A6)-LEN(I$2),FIND("■",Mail!$A6,FIND(I$2,Mail!$A6)+LEN(I$2))-FIND(I$2,Mail!$A6)-LEN(I$2)-1)))))</f>
        <v/>
      </c>
      <c r="J8" s="8" t="str">
        <f>TRIM(IF(ISERROR(FIND(J$2,Mail!$A6)),"",MID(Mail!$A6,FIND(J$2,Mail!$A6)+LEN(J$2)+1,IF(ISERROR(FIND("■",Mail!$A6,FIND(J$2,Mail!$A6)+LEN(J$2))-FIND(J$2,Mail!$A6)-LEN(J$2)),LEN(Mail!$A6)-60-FIND(J$2,Mail!$A6)-LEN(J$2),FIND("■",Mail!$A6,FIND(J$2,Mail!$A6)+LEN(J$2))-FIND(J$2,Mail!$A6)-LEN(J$2)-1))))</f>
        <v/>
      </c>
      <c r="K8" s="8" t="str">
        <f>TRIM(IF(ISERROR(FIND(K$2,Mail!$A6)),"",MID(Mail!$A6,FIND(K$2,Mail!$A6)+LEN(K$2)+1,IF(ISERROR(FIND("■",Mail!$A6,FIND(K$2,Mail!$A6)+LEN(K$2))-FIND(K$2,Mail!$A6)-LEN(K$2)),LEN(Mail!$A6)-60-FIND(K$2,Mail!$A6)-LEN(K$2),FIND("■",Mail!$A6,FIND(K$2,Mail!$A6)+LEN(K$2))-FIND(K$2,Mail!$A6)-LEN(K$2)-1))))</f>
        <v/>
      </c>
      <c r="L8" s="8" t="str">
        <f>TRIM(IF(ISERROR(FIND(L$2,Mail!$A6)),"",MID(Mail!$A6,FIND(L$2,Mail!$A6)+LEN(L$2)+1,IF(ISERROR(FIND("■",Mail!$A6,FIND(L$2,Mail!$A6)+LEN(L$2))-FIND(L$2,Mail!$A6)-LEN(L$2)),LEN(Mail!$A6)-60-FIND(L$2,Mail!$A6)-LEN(L$2),FIND("■",Mail!$A6,FIND(L$2,Mail!$A6)+LEN(L$2))-FIND(L$2,Mail!$A6)-LEN(L$2)-1))))</f>
        <v/>
      </c>
      <c r="M8" s="8" t="str">
        <f>TRIM(CLEAN(IF(ISERROR(FIND(M$2,Mail!$A6)),"",MID(Mail!$A6,FIND(M$2,Mail!$A6)+LEN(M$2)+1,IF(ISERROR(FIND("■",Mail!$A6,FIND(M$2,Mail!$A6)+LEN(M$2))-FIND(M$2,Mail!$A6)-LEN(M$2)),LEN(Mail!$A6)-60-FIND(M$2,Mail!$A6)-LEN(M$2),FIND("■",Mail!$A6,FIND(M$2,Mail!$A6)+LEN(M$2))-FIND(M$2,Mail!$A6)-LEN(M$2)-1)))))</f>
        <v/>
      </c>
      <c r="N8" s="8" t="str">
        <f>TRIM(CLEAN(IF(ISERROR(FIND(N$2,Mail!$A6)),"",MID(Mail!$A6,FIND(N$2,Mail!$A6)+LEN(N$2)+1,IF(ISERROR(FIND("■",Mail!$A6,FIND(N$2,Mail!$A6)+LEN(N$2))-FIND(N$2,Mail!$A6)-LEN(N$2)),LEN(Mail!$A6)-60-FIND(N$2,Mail!$A6)-LEN(N$2),FIND("■",Mail!$A6,FIND(N$2,Mail!$A6)+LEN(N$2))-FIND(N$2,Mail!$A6)-LEN(N$2)-1)))))</f>
        <v/>
      </c>
      <c r="O8" s="8" t="str">
        <f>TRIM(CLEAN(IF(ISERROR(FIND(O$2,Mail!$A6)),"",MID(Mail!$A6,FIND(O$2,Mail!$A6)+LEN(O$2)+1,IF(ISERROR(FIND("■",Mail!$A6,FIND(O$2,Mail!$A6)+LEN(O$2))-FIND(O$2,Mail!$A6)-LEN(O$2)),LEN(Mail!$A6)-60-FIND(O$2,Mail!$A6)-LEN(O$2),FIND("■",Mail!$A6,FIND(O$2,Mail!$A6)+LEN(O$2))-FIND(O$2,Mail!$A6)-LEN(O$2)-1)))))</f>
        <v/>
      </c>
      <c r="P8" s="8" t="str">
        <f>TRIM(CLEAN(IF(ISERROR(FIND(P$2,Mail!$A6)),"",MID(Mail!$A6,FIND(P$2,Mail!$A6)+LEN(P$2)+1,IF(ISERROR(FIND("■",Mail!$A6,FIND(P$2,Mail!$A6)+LEN(P$2))-FIND(P$2,Mail!$A6)-LEN(P$2)),LEN(Mail!$A6)-60-FIND(P$2,Mail!$A6)-LEN(P$2),FIND("■",Mail!$A6,FIND(P$2,Mail!$A6)+LEN(P$2))-FIND(P$2,Mail!$A6)-LEN(P$2)-1)))))</f>
        <v/>
      </c>
      <c r="Q8" s="8" t="str">
        <f>TRIM(CLEAN(IF(ISERROR(FIND(Q$2,Mail!$A6)),"",MID(Mail!$A6,FIND(Q$2,Mail!$A6)+LEN(Q$2)+1,IF(ISERROR(FIND("■",Mail!$A6,FIND(Q$2,Mail!$A6)+LEN(Q$2))-FIND(Q$2,Mail!$A6)-LEN(Q$2)),LEN(Mail!$A6)-60-FIND(Q$2,Mail!$A6)-LEN(Q$2),FIND("■",Mail!$A6,FIND(Q$2,Mail!$A6)+LEN(Q$2))-FIND(Q$2,Mail!$A6)-LEN(Q$2)-1)))))</f>
        <v/>
      </c>
      <c r="R8" s="8" t="str">
        <f>TRIM(CLEAN(IF(ISERROR(FIND(R$2,Mail!$A6)),"",MID(Mail!$A6,FIND(R$2,Mail!$A6)+LEN(R$2)+1,IF(ISERROR(FIND("■",Mail!$A6,FIND(R$2,Mail!$A6)+LEN(R$2))-FIND(R$2,Mail!$A6)-LEN(R$2)),LEN(Mail!$A6)-60-FIND(R$2,Mail!$A6)-LEN(R$2),FIND("■",Mail!$A6,FIND(R$2,Mail!$A6)+LEN(R$2))-FIND(R$2,Mail!$A6)-LEN(R$2)-1)))))</f>
        <v/>
      </c>
      <c r="S8" s="8" t="str">
        <f>TRIM(CLEAN(IF(ISERROR(FIND(S$2,Mail!$A6)),"",MID(Mail!$A6,FIND(S$2,Mail!$A6)+LEN(S$2)+1,IF(ISERROR(FIND("■",Mail!$A6,FIND(S$2,Mail!$A6)+LEN(S$2))-FIND(S$2,Mail!$A6)-LEN(S$2)),LEN(Mail!$A6)-60-FIND(S$2,Mail!$A6)-LEN(S$2),FIND("■",Mail!$A6,FIND(S$2,Mail!$A6)+LEN(S$2))-FIND(S$2,Mail!$A6)-LEN(S$2)-1)))))</f>
        <v/>
      </c>
      <c r="T8" s="8" t="str">
        <f>TRIM(CLEAN(IF(ISERROR(FIND(T$2,Mail!$A6)),"",MID(Mail!$A6,FIND(T$2,Mail!$A6)+LEN(T$2)+1,IF(ISERROR(FIND("■",Mail!$A6,FIND(T$2,Mail!$A6)+LEN(T$2))-FIND(T$2,Mail!$A6)-LEN(T$2)),LEN(Mail!$A6)-60-FIND(T$2,Mail!$A6)-LEN(T$2),FIND("■",Mail!$A6,FIND(T$2,Mail!$A6)+LEN(T$2))-FIND(T$2,Mail!$A6)-LEN(T$2)-1)))))</f>
        <v/>
      </c>
      <c r="U8" s="8" t="str">
        <f>TRIM(CLEAN(IF(ISERROR(FIND(U$2,Mail!$A6)),"",MID(Mail!$A6,FIND(U$2,Mail!$A6)+LEN(U$2)+1,IF(ISERROR(FIND("■",Mail!$A6,FIND(U$2,Mail!$A6)+LEN(U$2))-FIND(U$2,Mail!$A6)-LEN(U$2)),LEN(Mail!$A6)-60-FIND(U$2,Mail!$A6)-LEN(U$2),FIND("■",Mail!$A6,FIND(U$2,Mail!$A6)+LEN(U$2))-FIND(U$2,Mail!$A6)-LEN(U$2)-1)))))</f>
        <v/>
      </c>
      <c r="V8" s="8" t="str">
        <f>TRIM(CLEAN(IF(ISERROR(FIND(V$2,Mail!$A6)),"",MID(Mail!$A6,FIND(V$2,Mail!$A6)+LEN(V$2)+1,IF(ISERROR(FIND("■",Mail!$A6,FIND(V$2,Mail!$A6)+LEN(V$2))-FIND(V$2,Mail!$A6)-LEN(V$2)),LEN(Mail!$A6)-60-FIND(V$2,Mail!$A6)-LEN(V$2),FIND("■",Mail!$A6,FIND(V$2,Mail!$A6)+LEN(V$2))-FIND(V$2,Mail!$A6)-LEN(V$2)-1)))))</f>
        <v/>
      </c>
      <c r="W8" s="8" t="str">
        <f>TRIM(CLEAN(IF(ISERROR(FIND(W$2,Mail!$A6)),"",MID(Mail!$A6,FIND(W$2,Mail!$A6)+LEN(W$2)+1,IF(ISERROR(FIND("■",Mail!$A6,FIND(W$2,Mail!$A6)+LEN(W$2))-FIND(W$2,Mail!$A6)-LEN(W$2)),LEN(Mail!$A6)-60-FIND(W$2,Mail!$A6)-LEN(W$2),FIND("■",Mail!$A6,FIND(W$2,Mail!$A6)+LEN(W$2))-FIND(W$2,Mail!$A6)-LEN(W$2)-1)))))</f>
        <v/>
      </c>
      <c r="X8" s="8" t="str">
        <f>TRIM(IF(ISERROR(FIND(X$2,Mail!$A6)),"",MID(Mail!$A6,FIND(X$2,Mail!$A6)+LEN(X$2)+1,IF(ISERROR(FIND("■",Mail!$A6,FIND(X$2,Mail!$A6)+LEN(X$2))-FIND(X$2,Mail!$A6)-LEN(X$2)),LEN(Mail!$A6)-60-FIND(X$2,Mail!$A6)-LEN(X$2),FIND("■",Mail!$A6,FIND(X$2,Mail!$A6)+LEN(X$2))-FIND(X$2,Mail!$A6)-LEN(X$2)-1))))</f>
        <v/>
      </c>
      <c r="Y8" s="8" t="str">
        <f>TRIM(CLEAN(IF(ISERROR(FIND(Y$2,Mail!$A6)),"",MID(Mail!$A6,FIND(Y$2,Mail!$A6)+LEN(Y$2)+1,IF(ISERROR(FIND("■",Mail!$A6,FIND(Y$2,Mail!$A6)+LEN(Y$2))-FIND(Y$2,Mail!$A6)-LEN(Y$2)),LEN(Mail!$A6)-60-FIND(Y$2,Mail!$A6)-LEN(Y$2),FIND("■",Mail!$A6,FIND(Y$2,Mail!$A6)+LEN(Y$2))-FIND(Y$2,Mail!$A6)-LEN(Y$2)-1)))))</f>
        <v/>
      </c>
      <c r="Z8" s="8" t="str">
        <f>TRIM(CLEAN(IF(ISERROR(FIND(Z$2,Mail!$A6)),"",MID(Mail!$A6,FIND(Z$2,Mail!$A6)+LEN(Z$2)+1,IF(ISERROR(FIND("■",Mail!$A6,FIND(Z$2,Mail!$A6)+LEN(Z$2))-FIND(Z$2,Mail!$A6)-LEN(Z$2)),LEN(Mail!$A6)-60-FIND(Z$2,Mail!$A6)-LEN(Z$2),FIND("■",Mail!$A6,FIND(Z$2,Mail!$A6)+LEN(Z$2))-FIND(Z$2,Mail!$A6)-LEN(Z$2)-1)))))</f>
        <v/>
      </c>
      <c r="AA8" s="8" t="str">
        <f>TRIM(CLEAN(IF(ISERROR(FIND(AA$2,Mail!$A6)),"",MID(Mail!$A6,FIND(AA$2,Mail!$A6)+LEN(AA$2)+1,IF(ISERROR(FIND("■",Mail!$A6,FIND(AA$2,Mail!$A6)+LEN(AA$2))-FIND(AA$2,Mail!$A6)-LEN(AA$2)),LEN(Mail!$A6)-60-FIND(AA$2,Mail!$A6)-LEN(AA$2),FIND("■",Mail!$A6,FIND(AA$2,Mail!$A6)+LEN(AA$2))-FIND(AA$2,Mail!$A6)-LEN(AA$2)-1)))))</f>
        <v/>
      </c>
      <c r="AB8" s="8" t="str">
        <f>TRIM(CLEAN(IF(ISERROR(FIND(AB$2,Mail!$A6)),"",MID(Mail!$A6,FIND(AB$2,Mail!$A6)+LEN(AB$2)+1,IF(ISERROR(FIND("■",Mail!$A6,FIND(AB$2,Mail!$A6)+LEN(AB$2))-FIND(AB$2,Mail!$A6)-LEN(AB$2)),LEN(Mail!$A6)-60-FIND(AB$2,Mail!$A6)-LEN(AB$2),FIND("■",Mail!$A6,FIND(AB$2,Mail!$A6)+LEN(AB$2))-FIND(AB$2,Mail!$A6)-LEN(AB$2)-1)))))</f>
        <v/>
      </c>
      <c r="AC8" s="8" t="str">
        <f>TRIM(CLEAN(IF(ISERROR(FIND(AC$2,Mail!$A6)),"",MID(Mail!$A6,FIND(AC$2,Mail!$A6)+LEN(AC$2)+1,IF(ISERROR(FIND("■",Mail!$A6,FIND(AC$2,Mail!$A6)+LEN(AC$2))-FIND(AC$2,Mail!$A6)-LEN(AC$2)),LEN(Mail!$A6)-60-FIND(AC$2,Mail!$A6)-LEN(AC$2),FIND("■",Mail!$A6,FIND(AC$2,Mail!$A6)+LEN(AC$2))-FIND(AC$2,Mail!$A6)-LEN(AC$2)-1)))))</f>
        <v/>
      </c>
      <c r="AD8" s="8" t="str">
        <f>TRIM(CLEAN(IF(ISERROR(FIND(AD$2,Mail!$A6)),"",MID(Mail!$A6,FIND(AD$2,Mail!$A6)+LEN(AD$2)+1,IF(ISERROR(FIND("■",Mail!$A6,FIND(AD$2,Mail!$A6)+LEN(AD$2))-FIND(AD$2,Mail!$A6)-LEN(AD$2)),LEN(Mail!$A6)-60-FIND(AD$2,Mail!$A6)-LEN(AD$2),FIND("■",Mail!$A6,FIND(AD$2,Mail!$A6)+LEN(AD$2))-FIND(AD$2,Mail!$A6)-LEN(AD$2)-1)))))</f>
        <v/>
      </c>
      <c r="AE8" s="8" t="str">
        <f>TRIM(CLEAN(IF(ISERROR(FIND(AE$2,Mail!$A6)),"",MID(Mail!$A6,FIND(AE$2,Mail!$A6)+LEN(AE$2)+1,IF(ISERROR(FIND("■",Mail!$A6,FIND(AE$2,Mail!$A6)+LEN(AE$2))-FIND(AE$2,Mail!$A6)-LEN(AE$2)),LEN(Mail!$A6)-60-FIND(AE$2,Mail!$A6)-LEN(AE$2),FIND("■",Mail!$A6,FIND(AE$2,Mail!$A6)+LEN(AE$2))-FIND(AE$2,Mail!$A6)-LEN(AE$2)-1)))))</f>
        <v/>
      </c>
      <c r="AF8" s="8" t="str">
        <f>TRIM(CLEAN(IF(ISERROR(FIND(AF$2,Mail!$A6)),"",MID(Mail!$A6,FIND(AF$2,Mail!$A6)+LEN(AF$2)+1,IF(ISERROR(FIND("■",Mail!$A6,FIND(AF$2,Mail!$A6)+LEN(AF$2))-FIND(AF$2,Mail!$A6)-LEN(AF$2)),LEN(Mail!$A6)-60-FIND(AF$2,Mail!$A6)-LEN(AF$2),FIND("■",Mail!$A6,FIND(AF$2,Mail!$A6)+LEN(AF$2))-FIND(AF$2,Mail!$A6)-LEN(AF$2)-1)))))</f>
        <v/>
      </c>
      <c r="AG8" s="8" t="str">
        <f>TRIM(IF(ISERROR(FIND(AG$2,Mail!$A6)),"",MID(Mail!$A6,FIND(AG$2,Mail!$A6)+LEN(AG$2)+1,IF(ISERROR(FIND("■",Mail!$A6,FIND(AG$2,Mail!$A6)+LEN(AG$2))-FIND(AG$2,Mail!$A6)-LEN(AG$2)),LEN(Mail!$A6)-60-FIND(AG$2,Mail!$A6)-LEN(AG$2),FIND("■",Mail!$A6,FIND(AG$2,Mail!$A6)+LEN(AG$2))-FIND(AG$2,Mail!$A6)-LEN(AG$2)-1))))</f>
        <v/>
      </c>
      <c r="AH8" s="8" t="str">
        <f>TRIM(IF(ISERROR(FIND(AH$2,Mail!$A6)),"",MID(Mail!$A6,FIND(AH$2,Mail!$A6)+LEN(AH$2)+1,IF(ISERROR(FIND("■",Mail!$A6,FIND(AH$2,Mail!$A6)+LEN(AH$2))-FIND(AH$2,Mail!$A6)-LEN(AH$2)),LEN(Mail!$A6)-60-FIND(AH$2,Mail!$A6)-LEN(AH$2),FIND("■",Mail!$A6,FIND(AH$2,Mail!$A6)+LEN(AH$2))-FIND(AH$2,Mail!$A6)-LEN(AH$2)-1))))</f>
        <v/>
      </c>
      <c r="AI8" s="8" t="str">
        <f>TRIM(IF(ISERROR(FIND(AI$2,Mail!$A6)),"",MID(Mail!$A6,FIND(AI$2,Mail!$A6)+LEN(AI$2)+1,IF(ISERROR(FIND("■",Mail!$A6,FIND(AI$2,Mail!$A6)+LEN(AI$2))-FIND(AI$2,Mail!$A6)-LEN(AI$2)),LEN(Mail!$A6)-60-FIND(AI$2,Mail!$A6)-LEN(AI$2),FIND("■",Mail!$A6,FIND(AI$2,Mail!$A6)+LEN(AI$2))-FIND(AI$2,Mail!$A6)-LEN(AI$2)-1))))</f>
        <v/>
      </c>
    </row>
    <row r="9" spans="1:35" s="8" customFormat="1" x14ac:dyDescent="0.15">
      <c r="A9" s="9" t="str">
        <f t="shared" si="1"/>
        <v/>
      </c>
      <c r="B9" s="8" t="str">
        <f>CLEAN(SUBSTITUTE(IF(ISERROR(FIND("yokohama",Mail!$A7)),"",MID(Mail!$A7,FIND("yokohama",Mail!$A7)+LEN("yokohama")+1,FIND("件目",Mail!$A7,FIND("yokohama",Mail!$A7))-(FIND("yokohama",Mail!$A7)+LEN("yokohama")+1)))," ",""))</f>
        <v/>
      </c>
      <c r="C9" s="9" t="str">
        <f t="shared" si="0"/>
        <v/>
      </c>
      <c r="D9" s="9" t="str">
        <f t="shared" si="2"/>
        <v/>
      </c>
      <c r="E9" s="8" t="str">
        <f t="shared" si="3"/>
        <v/>
      </c>
      <c r="F9" s="8" t="str">
        <f>TRIM(CLEAN(IF(ISERROR(FIND(F$2,Mail!$A7)),"",MID(Mail!$A7,FIND(F$2,Mail!$A7)+LEN(F$2)+1,IF(ISERROR(FIND("■",Mail!$A7,FIND(F$2,Mail!$A7)+LEN(F$2))-FIND(F$2,Mail!$A7)-LEN(F$2)),LEN(Mail!$A7)-60-FIND(F$2,Mail!$A7)-LEN(F$2),FIND("■",Mail!$A7,FIND(F$2,Mail!$A7)+LEN(F$2))-FIND(F$2,Mail!$A7)-LEN(F$2)-1)))))</f>
        <v/>
      </c>
      <c r="G9" s="8" t="str">
        <f>TRIM(CLEAN(IF(ISERROR(FIND(G$2,Mail!$A7)),"",MID(Mail!$A7,FIND(G$2,Mail!$A7)+LEN(G$2)+1,IF(ISERROR(FIND("■",Mail!$A7,FIND(G$2,Mail!$A7)+LEN(G$2))-FIND(G$2,Mail!$A7)-LEN(G$2)),LEN(Mail!$A7)-60-FIND(G$2,Mail!$A7)-LEN(G$2),FIND("■",Mail!$A7,FIND(G$2,Mail!$A7)+LEN(G$2))-FIND(G$2,Mail!$A7)-LEN(G$2)-1)))))</f>
        <v/>
      </c>
      <c r="H9" s="8" t="str">
        <f>TRIM(CLEAN(IF(ISERROR(FIND(H$2,Mail!$A7)),"",MID(Mail!$A7,FIND(H$2,Mail!$A7)+LEN(H$2)+1,IF(ISERROR(FIND("■",Mail!$A7,FIND(H$2,Mail!$A7)+LEN(H$2))-FIND(H$2,Mail!$A7)-LEN(H$2)),LEN(Mail!$A7)-60-FIND(H$2,Mail!$A7)-LEN(H$2),FIND("■",Mail!$A7,FIND(H$2,Mail!$A7)+LEN(H$2))-FIND(H$2,Mail!$A7)-LEN(H$2)-1)))))</f>
        <v/>
      </c>
      <c r="I9" s="8" t="str">
        <f>TRIM(CLEAN(IF(ISERROR(FIND(I$2,Mail!$A7)),"",MID(Mail!$A7,FIND(I$2,Mail!$A7)+LEN(I$2)+1,IF(ISERROR(FIND("■",Mail!$A7,FIND(I$2,Mail!$A7)+LEN(I$2))-FIND(I$2,Mail!$A7)-LEN(I$2)),LEN(Mail!$A7)-60-FIND(I$2,Mail!$A7)-LEN(I$2),FIND("■",Mail!$A7,FIND(I$2,Mail!$A7)+LEN(I$2))-FIND(I$2,Mail!$A7)-LEN(I$2)-1)))))</f>
        <v/>
      </c>
      <c r="J9" s="8" t="str">
        <f>TRIM(IF(ISERROR(FIND(J$2,Mail!$A7)),"",MID(Mail!$A7,FIND(J$2,Mail!$A7)+LEN(J$2)+1,IF(ISERROR(FIND("■",Mail!$A7,FIND(J$2,Mail!$A7)+LEN(J$2))-FIND(J$2,Mail!$A7)-LEN(J$2)),LEN(Mail!$A7)-60-FIND(J$2,Mail!$A7)-LEN(J$2),FIND("■",Mail!$A7,FIND(J$2,Mail!$A7)+LEN(J$2))-FIND(J$2,Mail!$A7)-LEN(J$2)-1))))</f>
        <v/>
      </c>
      <c r="K9" s="8" t="str">
        <f>TRIM(IF(ISERROR(FIND(K$2,Mail!$A7)),"",MID(Mail!$A7,FIND(K$2,Mail!$A7)+LEN(K$2)+1,IF(ISERROR(FIND("■",Mail!$A7,FIND(K$2,Mail!$A7)+LEN(K$2))-FIND(K$2,Mail!$A7)-LEN(K$2)),LEN(Mail!$A7)-60-FIND(K$2,Mail!$A7)-LEN(K$2),FIND("■",Mail!$A7,FIND(K$2,Mail!$A7)+LEN(K$2))-FIND(K$2,Mail!$A7)-LEN(K$2)-1))))</f>
        <v/>
      </c>
      <c r="L9" s="8" t="str">
        <f>TRIM(IF(ISERROR(FIND(L$2,Mail!$A7)),"",MID(Mail!$A7,FIND(L$2,Mail!$A7)+LEN(L$2)+1,IF(ISERROR(FIND("■",Mail!$A7,FIND(L$2,Mail!$A7)+LEN(L$2))-FIND(L$2,Mail!$A7)-LEN(L$2)),LEN(Mail!$A7)-60-FIND(L$2,Mail!$A7)-LEN(L$2),FIND("■",Mail!$A7,FIND(L$2,Mail!$A7)+LEN(L$2))-FIND(L$2,Mail!$A7)-LEN(L$2)-1))))</f>
        <v/>
      </c>
      <c r="M9" s="8" t="str">
        <f>TRIM(CLEAN(IF(ISERROR(FIND(M$2,Mail!$A7)),"",MID(Mail!$A7,FIND(M$2,Mail!$A7)+LEN(M$2)+1,IF(ISERROR(FIND("■",Mail!$A7,FIND(M$2,Mail!$A7)+LEN(M$2))-FIND(M$2,Mail!$A7)-LEN(M$2)),LEN(Mail!$A7)-60-FIND(M$2,Mail!$A7)-LEN(M$2),FIND("■",Mail!$A7,FIND(M$2,Mail!$A7)+LEN(M$2))-FIND(M$2,Mail!$A7)-LEN(M$2)-1)))))</f>
        <v/>
      </c>
      <c r="N9" s="8" t="str">
        <f>TRIM(CLEAN(IF(ISERROR(FIND(N$2,Mail!$A7)),"",MID(Mail!$A7,FIND(N$2,Mail!$A7)+LEN(N$2)+1,IF(ISERROR(FIND("■",Mail!$A7,FIND(N$2,Mail!$A7)+LEN(N$2))-FIND(N$2,Mail!$A7)-LEN(N$2)),LEN(Mail!$A7)-60-FIND(N$2,Mail!$A7)-LEN(N$2),FIND("■",Mail!$A7,FIND(N$2,Mail!$A7)+LEN(N$2))-FIND(N$2,Mail!$A7)-LEN(N$2)-1)))))</f>
        <v/>
      </c>
      <c r="O9" s="8" t="str">
        <f>TRIM(CLEAN(IF(ISERROR(FIND(O$2,Mail!$A7)),"",MID(Mail!$A7,FIND(O$2,Mail!$A7)+LEN(O$2)+1,IF(ISERROR(FIND("■",Mail!$A7,FIND(O$2,Mail!$A7)+LEN(O$2))-FIND(O$2,Mail!$A7)-LEN(O$2)),LEN(Mail!$A7)-60-FIND(O$2,Mail!$A7)-LEN(O$2),FIND("■",Mail!$A7,FIND(O$2,Mail!$A7)+LEN(O$2))-FIND(O$2,Mail!$A7)-LEN(O$2)-1)))))</f>
        <v/>
      </c>
      <c r="P9" s="8" t="str">
        <f>TRIM(CLEAN(IF(ISERROR(FIND(P$2,Mail!$A7)),"",MID(Mail!$A7,FIND(P$2,Mail!$A7)+LEN(P$2)+1,IF(ISERROR(FIND("■",Mail!$A7,FIND(P$2,Mail!$A7)+LEN(P$2))-FIND(P$2,Mail!$A7)-LEN(P$2)),LEN(Mail!$A7)-60-FIND(P$2,Mail!$A7)-LEN(P$2),FIND("■",Mail!$A7,FIND(P$2,Mail!$A7)+LEN(P$2))-FIND(P$2,Mail!$A7)-LEN(P$2)-1)))))</f>
        <v/>
      </c>
      <c r="Q9" s="8" t="str">
        <f>TRIM(CLEAN(IF(ISERROR(FIND(Q$2,Mail!$A7)),"",MID(Mail!$A7,FIND(Q$2,Mail!$A7)+LEN(Q$2)+1,IF(ISERROR(FIND("■",Mail!$A7,FIND(Q$2,Mail!$A7)+LEN(Q$2))-FIND(Q$2,Mail!$A7)-LEN(Q$2)),LEN(Mail!$A7)-60-FIND(Q$2,Mail!$A7)-LEN(Q$2),FIND("■",Mail!$A7,FIND(Q$2,Mail!$A7)+LEN(Q$2))-FIND(Q$2,Mail!$A7)-LEN(Q$2)-1)))))</f>
        <v/>
      </c>
      <c r="R9" s="8" t="str">
        <f>TRIM(CLEAN(IF(ISERROR(FIND(R$2,Mail!$A7)),"",MID(Mail!$A7,FIND(R$2,Mail!$A7)+LEN(R$2)+1,IF(ISERROR(FIND("■",Mail!$A7,FIND(R$2,Mail!$A7)+LEN(R$2))-FIND(R$2,Mail!$A7)-LEN(R$2)),LEN(Mail!$A7)-60-FIND(R$2,Mail!$A7)-LEN(R$2),FIND("■",Mail!$A7,FIND(R$2,Mail!$A7)+LEN(R$2))-FIND(R$2,Mail!$A7)-LEN(R$2)-1)))))</f>
        <v/>
      </c>
      <c r="S9" s="8" t="str">
        <f>TRIM(CLEAN(IF(ISERROR(FIND(S$2,Mail!$A7)),"",MID(Mail!$A7,FIND(S$2,Mail!$A7)+LEN(S$2)+1,IF(ISERROR(FIND("■",Mail!$A7,FIND(S$2,Mail!$A7)+LEN(S$2))-FIND(S$2,Mail!$A7)-LEN(S$2)),LEN(Mail!$A7)-60-FIND(S$2,Mail!$A7)-LEN(S$2),FIND("■",Mail!$A7,FIND(S$2,Mail!$A7)+LEN(S$2))-FIND(S$2,Mail!$A7)-LEN(S$2)-1)))))</f>
        <v/>
      </c>
      <c r="T9" s="8" t="str">
        <f>TRIM(CLEAN(IF(ISERROR(FIND(T$2,Mail!$A7)),"",MID(Mail!$A7,FIND(T$2,Mail!$A7)+LEN(T$2)+1,IF(ISERROR(FIND("■",Mail!$A7,FIND(T$2,Mail!$A7)+LEN(T$2))-FIND(T$2,Mail!$A7)-LEN(T$2)),LEN(Mail!$A7)-60-FIND(T$2,Mail!$A7)-LEN(T$2),FIND("■",Mail!$A7,FIND(T$2,Mail!$A7)+LEN(T$2))-FIND(T$2,Mail!$A7)-LEN(T$2)-1)))))</f>
        <v/>
      </c>
      <c r="U9" s="8" t="str">
        <f>TRIM(CLEAN(IF(ISERROR(FIND(U$2,Mail!$A7)),"",MID(Mail!$A7,FIND(U$2,Mail!$A7)+LEN(U$2)+1,IF(ISERROR(FIND("■",Mail!$A7,FIND(U$2,Mail!$A7)+LEN(U$2))-FIND(U$2,Mail!$A7)-LEN(U$2)),LEN(Mail!$A7)-60-FIND(U$2,Mail!$A7)-LEN(U$2),FIND("■",Mail!$A7,FIND(U$2,Mail!$A7)+LEN(U$2))-FIND(U$2,Mail!$A7)-LEN(U$2)-1)))))</f>
        <v/>
      </c>
      <c r="V9" s="8" t="str">
        <f>TRIM(CLEAN(IF(ISERROR(FIND(V$2,Mail!$A7)),"",MID(Mail!$A7,FIND(V$2,Mail!$A7)+LEN(V$2)+1,IF(ISERROR(FIND("■",Mail!$A7,FIND(V$2,Mail!$A7)+LEN(V$2))-FIND(V$2,Mail!$A7)-LEN(V$2)),LEN(Mail!$A7)-60-FIND(V$2,Mail!$A7)-LEN(V$2),FIND("■",Mail!$A7,FIND(V$2,Mail!$A7)+LEN(V$2))-FIND(V$2,Mail!$A7)-LEN(V$2)-1)))))</f>
        <v/>
      </c>
      <c r="W9" s="8" t="str">
        <f>TRIM(CLEAN(IF(ISERROR(FIND(W$2,Mail!$A7)),"",MID(Mail!$A7,FIND(W$2,Mail!$A7)+LEN(W$2)+1,IF(ISERROR(FIND("■",Mail!$A7,FIND(W$2,Mail!$A7)+LEN(W$2))-FIND(W$2,Mail!$A7)-LEN(W$2)),LEN(Mail!$A7)-60-FIND(W$2,Mail!$A7)-LEN(W$2),FIND("■",Mail!$A7,FIND(W$2,Mail!$A7)+LEN(W$2))-FIND(W$2,Mail!$A7)-LEN(W$2)-1)))))</f>
        <v/>
      </c>
      <c r="X9" s="8" t="str">
        <f>TRIM(IF(ISERROR(FIND(X$2,Mail!$A7)),"",MID(Mail!$A7,FIND(X$2,Mail!$A7)+LEN(X$2)+1,IF(ISERROR(FIND("■",Mail!$A7,FIND(X$2,Mail!$A7)+LEN(X$2))-FIND(X$2,Mail!$A7)-LEN(X$2)),LEN(Mail!$A7)-60-FIND(X$2,Mail!$A7)-LEN(X$2),FIND("■",Mail!$A7,FIND(X$2,Mail!$A7)+LEN(X$2))-FIND(X$2,Mail!$A7)-LEN(X$2)-1))))</f>
        <v/>
      </c>
      <c r="Y9" s="8" t="str">
        <f>TRIM(CLEAN(IF(ISERROR(FIND(Y$2,Mail!$A7)),"",MID(Mail!$A7,FIND(Y$2,Mail!$A7)+LEN(Y$2)+1,IF(ISERROR(FIND("■",Mail!$A7,FIND(Y$2,Mail!$A7)+LEN(Y$2))-FIND(Y$2,Mail!$A7)-LEN(Y$2)),LEN(Mail!$A7)-60-FIND(Y$2,Mail!$A7)-LEN(Y$2),FIND("■",Mail!$A7,FIND(Y$2,Mail!$A7)+LEN(Y$2))-FIND(Y$2,Mail!$A7)-LEN(Y$2)-1)))))</f>
        <v/>
      </c>
      <c r="Z9" s="8" t="str">
        <f>TRIM(CLEAN(IF(ISERROR(FIND(Z$2,Mail!$A7)),"",MID(Mail!$A7,FIND(Z$2,Mail!$A7)+LEN(Z$2)+1,IF(ISERROR(FIND("■",Mail!$A7,FIND(Z$2,Mail!$A7)+LEN(Z$2))-FIND(Z$2,Mail!$A7)-LEN(Z$2)),LEN(Mail!$A7)-60-FIND(Z$2,Mail!$A7)-LEN(Z$2),FIND("■",Mail!$A7,FIND(Z$2,Mail!$A7)+LEN(Z$2))-FIND(Z$2,Mail!$A7)-LEN(Z$2)-1)))))</f>
        <v/>
      </c>
      <c r="AA9" s="8" t="str">
        <f>TRIM(CLEAN(IF(ISERROR(FIND(AA$2,Mail!$A7)),"",MID(Mail!$A7,FIND(AA$2,Mail!$A7)+LEN(AA$2)+1,IF(ISERROR(FIND("■",Mail!$A7,FIND(AA$2,Mail!$A7)+LEN(AA$2))-FIND(AA$2,Mail!$A7)-LEN(AA$2)),LEN(Mail!$A7)-60-FIND(AA$2,Mail!$A7)-LEN(AA$2),FIND("■",Mail!$A7,FIND(AA$2,Mail!$A7)+LEN(AA$2))-FIND(AA$2,Mail!$A7)-LEN(AA$2)-1)))))</f>
        <v/>
      </c>
      <c r="AB9" s="8" t="str">
        <f>TRIM(CLEAN(IF(ISERROR(FIND(AB$2,Mail!$A7)),"",MID(Mail!$A7,FIND(AB$2,Mail!$A7)+LEN(AB$2)+1,IF(ISERROR(FIND("■",Mail!$A7,FIND(AB$2,Mail!$A7)+LEN(AB$2))-FIND(AB$2,Mail!$A7)-LEN(AB$2)),LEN(Mail!$A7)-60-FIND(AB$2,Mail!$A7)-LEN(AB$2),FIND("■",Mail!$A7,FIND(AB$2,Mail!$A7)+LEN(AB$2))-FIND(AB$2,Mail!$A7)-LEN(AB$2)-1)))))</f>
        <v/>
      </c>
      <c r="AC9" s="8" t="str">
        <f>TRIM(CLEAN(IF(ISERROR(FIND(AC$2,Mail!$A7)),"",MID(Mail!$A7,FIND(AC$2,Mail!$A7)+LEN(AC$2)+1,IF(ISERROR(FIND("■",Mail!$A7,FIND(AC$2,Mail!$A7)+LEN(AC$2))-FIND(AC$2,Mail!$A7)-LEN(AC$2)),LEN(Mail!$A7)-60-FIND(AC$2,Mail!$A7)-LEN(AC$2),FIND("■",Mail!$A7,FIND(AC$2,Mail!$A7)+LEN(AC$2))-FIND(AC$2,Mail!$A7)-LEN(AC$2)-1)))))</f>
        <v/>
      </c>
      <c r="AD9" s="8" t="str">
        <f>TRIM(CLEAN(IF(ISERROR(FIND(AD$2,Mail!$A7)),"",MID(Mail!$A7,FIND(AD$2,Mail!$A7)+LEN(AD$2)+1,IF(ISERROR(FIND("■",Mail!$A7,FIND(AD$2,Mail!$A7)+LEN(AD$2))-FIND(AD$2,Mail!$A7)-LEN(AD$2)),LEN(Mail!$A7)-60-FIND(AD$2,Mail!$A7)-LEN(AD$2),FIND("■",Mail!$A7,FIND(AD$2,Mail!$A7)+LEN(AD$2))-FIND(AD$2,Mail!$A7)-LEN(AD$2)-1)))))</f>
        <v/>
      </c>
      <c r="AE9" s="8" t="str">
        <f>TRIM(CLEAN(IF(ISERROR(FIND(AE$2,Mail!$A7)),"",MID(Mail!$A7,FIND(AE$2,Mail!$A7)+LEN(AE$2)+1,IF(ISERROR(FIND("■",Mail!$A7,FIND(AE$2,Mail!$A7)+LEN(AE$2))-FIND(AE$2,Mail!$A7)-LEN(AE$2)),LEN(Mail!$A7)-60-FIND(AE$2,Mail!$A7)-LEN(AE$2),FIND("■",Mail!$A7,FIND(AE$2,Mail!$A7)+LEN(AE$2))-FIND(AE$2,Mail!$A7)-LEN(AE$2)-1)))))</f>
        <v/>
      </c>
      <c r="AF9" s="8" t="str">
        <f>TRIM(CLEAN(IF(ISERROR(FIND(AF$2,Mail!$A7)),"",MID(Mail!$A7,FIND(AF$2,Mail!$A7)+LEN(AF$2)+1,IF(ISERROR(FIND("■",Mail!$A7,FIND(AF$2,Mail!$A7)+LEN(AF$2))-FIND(AF$2,Mail!$A7)-LEN(AF$2)),LEN(Mail!$A7)-60-FIND(AF$2,Mail!$A7)-LEN(AF$2),FIND("■",Mail!$A7,FIND(AF$2,Mail!$A7)+LEN(AF$2))-FIND(AF$2,Mail!$A7)-LEN(AF$2)-1)))))</f>
        <v/>
      </c>
      <c r="AG9" s="8" t="str">
        <f>TRIM(IF(ISERROR(FIND(AG$2,Mail!$A7)),"",MID(Mail!$A7,FIND(AG$2,Mail!$A7)+LEN(AG$2)+1,IF(ISERROR(FIND("■",Mail!$A7,FIND(AG$2,Mail!$A7)+LEN(AG$2))-FIND(AG$2,Mail!$A7)-LEN(AG$2)),LEN(Mail!$A7)-60-FIND(AG$2,Mail!$A7)-LEN(AG$2),FIND("■",Mail!$A7,FIND(AG$2,Mail!$A7)+LEN(AG$2))-FIND(AG$2,Mail!$A7)-LEN(AG$2)-1))))</f>
        <v/>
      </c>
      <c r="AH9" s="8" t="str">
        <f>TRIM(IF(ISERROR(FIND(AH$2,Mail!$A7)),"",MID(Mail!$A7,FIND(AH$2,Mail!$A7)+LEN(AH$2)+1,IF(ISERROR(FIND("■",Mail!$A7,FIND(AH$2,Mail!$A7)+LEN(AH$2))-FIND(AH$2,Mail!$A7)-LEN(AH$2)),LEN(Mail!$A7)-60-FIND(AH$2,Mail!$A7)-LEN(AH$2),FIND("■",Mail!$A7,FIND(AH$2,Mail!$A7)+LEN(AH$2))-FIND(AH$2,Mail!$A7)-LEN(AH$2)-1))))</f>
        <v/>
      </c>
      <c r="AI9" s="8" t="str">
        <f>TRIM(IF(ISERROR(FIND(AI$2,Mail!$A7)),"",MID(Mail!$A7,FIND(AI$2,Mail!$A7)+LEN(AI$2)+1,IF(ISERROR(FIND("■",Mail!$A7,FIND(AI$2,Mail!$A7)+LEN(AI$2))-FIND(AI$2,Mail!$A7)-LEN(AI$2)),LEN(Mail!$A7)-60-FIND(AI$2,Mail!$A7)-LEN(AI$2),FIND("■",Mail!$A7,FIND(AI$2,Mail!$A7)+LEN(AI$2))-FIND(AI$2,Mail!$A7)-LEN(AI$2)-1))))</f>
        <v/>
      </c>
    </row>
    <row r="10" spans="1:35" s="8" customFormat="1" x14ac:dyDescent="0.15">
      <c r="A10" s="9" t="str">
        <f t="shared" si="1"/>
        <v/>
      </c>
      <c r="B10" s="8" t="str">
        <f>CLEAN(SUBSTITUTE(IF(ISERROR(FIND("yokohama",Mail!$A8)),"",MID(Mail!$A8,FIND("yokohama",Mail!$A8)+LEN("yokohama")+1,FIND("件目",Mail!$A8,FIND("yokohama",Mail!$A8))-(FIND("yokohama",Mail!$A8)+LEN("yokohama")+1)))," ",""))</f>
        <v/>
      </c>
      <c r="C10" s="9" t="str">
        <f t="shared" si="0"/>
        <v/>
      </c>
      <c r="D10" s="9" t="str">
        <f t="shared" si="2"/>
        <v/>
      </c>
      <c r="E10" s="8" t="str">
        <f t="shared" si="3"/>
        <v/>
      </c>
      <c r="F10" s="8" t="str">
        <f>TRIM(CLEAN(IF(ISERROR(FIND(F$2,Mail!$A8)),"",MID(Mail!$A8,FIND(F$2,Mail!$A8)+LEN(F$2)+1,IF(ISERROR(FIND("■",Mail!$A8,FIND(F$2,Mail!$A8)+LEN(F$2))-FIND(F$2,Mail!$A8)-LEN(F$2)),LEN(Mail!$A8)-60-FIND(F$2,Mail!$A8)-LEN(F$2),FIND("■",Mail!$A8,FIND(F$2,Mail!$A8)+LEN(F$2))-FIND(F$2,Mail!$A8)-LEN(F$2)-1)))))</f>
        <v/>
      </c>
      <c r="G10" s="8" t="str">
        <f>TRIM(CLEAN(IF(ISERROR(FIND(G$2,Mail!$A8)),"",MID(Mail!$A8,FIND(G$2,Mail!$A8)+LEN(G$2)+1,IF(ISERROR(FIND("■",Mail!$A8,FIND(G$2,Mail!$A8)+LEN(G$2))-FIND(G$2,Mail!$A8)-LEN(G$2)),LEN(Mail!$A8)-60-FIND(G$2,Mail!$A8)-LEN(G$2),FIND("■",Mail!$A8,FIND(G$2,Mail!$A8)+LEN(G$2))-FIND(G$2,Mail!$A8)-LEN(G$2)-1)))))</f>
        <v/>
      </c>
      <c r="H10" s="8" t="str">
        <f>TRIM(CLEAN(IF(ISERROR(FIND(H$2,Mail!$A8)),"",MID(Mail!$A8,FIND(H$2,Mail!$A8)+LEN(H$2)+1,IF(ISERROR(FIND("■",Mail!$A8,FIND(H$2,Mail!$A8)+LEN(H$2))-FIND(H$2,Mail!$A8)-LEN(H$2)),LEN(Mail!$A8)-60-FIND(H$2,Mail!$A8)-LEN(H$2),FIND("■",Mail!$A8,FIND(H$2,Mail!$A8)+LEN(H$2))-FIND(H$2,Mail!$A8)-LEN(H$2)-1)))))</f>
        <v/>
      </c>
      <c r="I10" s="8" t="str">
        <f>TRIM(CLEAN(IF(ISERROR(FIND(I$2,Mail!$A8)),"",MID(Mail!$A8,FIND(I$2,Mail!$A8)+LEN(I$2)+1,IF(ISERROR(FIND("■",Mail!$A8,FIND(I$2,Mail!$A8)+LEN(I$2))-FIND(I$2,Mail!$A8)-LEN(I$2)),LEN(Mail!$A8)-60-FIND(I$2,Mail!$A8)-LEN(I$2),FIND("■",Mail!$A8,FIND(I$2,Mail!$A8)+LEN(I$2))-FIND(I$2,Mail!$A8)-LEN(I$2)-1)))))</f>
        <v/>
      </c>
      <c r="J10" s="8" t="str">
        <f>TRIM(IF(ISERROR(FIND(J$2,Mail!$A8)),"",MID(Mail!$A8,FIND(J$2,Mail!$A8)+LEN(J$2)+1,IF(ISERROR(FIND("■",Mail!$A8,FIND(J$2,Mail!$A8)+LEN(J$2))-FIND(J$2,Mail!$A8)-LEN(J$2)),LEN(Mail!$A8)-60-FIND(J$2,Mail!$A8)-LEN(J$2),FIND("■",Mail!$A8,FIND(J$2,Mail!$A8)+LEN(J$2))-FIND(J$2,Mail!$A8)-LEN(J$2)-1))))</f>
        <v/>
      </c>
      <c r="K10" s="8" t="str">
        <f>TRIM(IF(ISERROR(FIND(K$2,Mail!$A8)),"",MID(Mail!$A8,FIND(K$2,Mail!$A8)+LEN(K$2)+1,IF(ISERROR(FIND("■",Mail!$A8,FIND(K$2,Mail!$A8)+LEN(K$2))-FIND(K$2,Mail!$A8)-LEN(K$2)),LEN(Mail!$A8)-60-FIND(K$2,Mail!$A8)-LEN(K$2),FIND("■",Mail!$A8,FIND(K$2,Mail!$A8)+LEN(K$2))-FIND(K$2,Mail!$A8)-LEN(K$2)-1))))</f>
        <v/>
      </c>
      <c r="L10" s="8" t="str">
        <f>TRIM(IF(ISERROR(FIND(L$2,Mail!$A8)),"",MID(Mail!$A8,FIND(L$2,Mail!$A8)+LEN(L$2)+1,IF(ISERROR(FIND("■",Mail!$A8,FIND(L$2,Mail!$A8)+LEN(L$2))-FIND(L$2,Mail!$A8)-LEN(L$2)),LEN(Mail!$A8)-60-FIND(L$2,Mail!$A8)-LEN(L$2),FIND("■",Mail!$A8,FIND(L$2,Mail!$A8)+LEN(L$2))-FIND(L$2,Mail!$A8)-LEN(L$2)-1))))</f>
        <v/>
      </c>
      <c r="M10" s="8" t="str">
        <f>TRIM(CLEAN(IF(ISERROR(FIND(M$2,Mail!$A8)),"",MID(Mail!$A8,FIND(M$2,Mail!$A8)+LEN(M$2)+1,IF(ISERROR(FIND("■",Mail!$A8,FIND(M$2,Mail!$A8)+LEN(M$2))-FIND(M$2,Mail!$A8)-LEN(M$2)),LEN(Mail!$A8)-60-FIND(M$2,Mail!$A8)-LEN(M$2),FIND("■",Mail!$A8,FIND(M$2,Mail!$A8)+LEN(M$2))-FIND(M$2,Mail!$A8)-LEN(M$2)-1)))))</f>
        <v/>
      </c>
      <c r="N10" s="8" t="str">
        <f>TRIM(CLEAN(IF(ISERROR(FIND(N$2,Mail!$A8)),"",MID(Mail!$A8,FIND(N$2,Mail!$A8)+LEN(N$2)+1,IF(ISERROR(FIND("■",Mail!$A8,FIND(N$2,Mail!$A8)+LEN(N$2))-FIND(N$2,Mail!$A8)-LEN(N$2)),LEN(Mail!$A8)-60-FIND(N$2,Mail!$A8)-LEN(N$2),FIND("■",Mail!$A8,FIND(N$2,Mail!$A8)+LEN(N$2))-FIND(N$2,Mail!$A8)-LEN(N$2)-1)))))</f>
        <v/>
      </c>
      <c r="O10" s="8" t="str">
        <f>TRIM(CLEAN(IF(ISERROR(FIND(O$2,Mail!$A8)),"",MID(Mail!$A8,FIND(O$2,Mail!$A8)+LEN(O$2)+1,IF(ISERROR(FIND("■",Mail!$A8,FIND(O$2,Mail!$A8)+LEN(O$2))-FIND(O$2,Mail!$A8)-LEN(O$2)),LEN(Mail!$A8)-60-FIND(O$2,Mail!$A8)-LEN(O$2),FIND("■",Mail!$A8,FIND(O$2,Mail!$A8)+LEN(O$2))-FIND(O$2,Mail!$A8)-LEN(O$2)-1)))))</f>
        <v/>
      </c>
      <c r="P10" s="8" t="str">
        <f>TRIM(CLEAN(IF(ISERROR(FIND(P$2,Mail!$A8)),"",MID(Mail!$A8,FIND(P$2,Mail!$A8)+LEN(P$2)+1,IF(ISERROR(FIND("■",Mail!$A8,FIND(P$2,Mail!$A8)+LEN(P$2))-FIND(P$2,Mail!$A8)-LEN(P$2)),LEN(Mail!$A8)-60-FIND(P$2,Mail!$A8)-LEN(P$2),FIND("■",Mail!$A8,FIND(P$2,Mail!$A8)+LEN(P$2))-FIND(P$2,Mail!$A8)-LEN(P$2)-1)))))</f>
        <v/>
      </c>
      <c r="Q10" s="8" t="str">
        <f>TRIM(CLEAN(IF(ISERROR(FIND(Q$2,Mail!$A8)),"",MID(Mail!$A8,FIND(Q$2,Mail!$A8)+LEN(Q$2)+1,IF(ISERROR(FIND("■",Mail!$A8,FIND(Q$2,Mail!$A8)+LEN(Q$2))-FIND(Q$2,Mail!$A8)-LEN(Q$2)),LEN(Mail!$A8)-60-FIND(Q$2,Mail!$A8)-LEN(Q$2),FIND("■",Mail!$A8,FIND(Q$2,Mail!$A8)+LEN(Q$2))-FIND(Q$2,Mail!$A8)-LEN(Q$2)-1)))))</f>
        <v/>
      </c>
      <c r="R10" s="8" t="str">
        <f>TRIM(CLEAN(IF(ISERROR(FIND(R$2,Mail!$A8)),"",MID(Mail!$A8,FIND(R$2,Mail!$A8)+LEN(R$2)+1,IF(ISERROR(FIND("■",Mail!$A8,FIND(R$2,Mail!$A8)+LEN(R$2))-FIND(R$2,Mail!$A8)-LEN(R$2)),LEN(Mail!$A8)-60-FIND(R$2,Mail!$A8)-LEN(R$2),FIND("■",Mail!$A8,FIND(R$2,Mail!$A8)+LEN(R$2))-FIND(R$2,Mail!$A8)-LEN(R$2)-1)))))</f>
        <v/>
      </c>
      <c r="S10" s="8" t="str">
        <f>TRIM(CLEAN(IF(ISERROR(FIND(S$2,Mail!$A8)),"",MID(Mail!$A8,FIND(S$2,Mail!$A8)+LEN(S$2)+1,IF(ISERROR(FIND("■",Mail!$A8,FIND(S$2,Mail!$A8)+LEN(S$2))-FIND(S$2,Mail!$A8)-LEN(S$2)),LEN(Mail!$A8)-60-FIND(S$2,Mail!$A8)-LEN(S$2),FIND("■",Mail!$A8,FIND(S$2,Mail!$A8)+LEN(S$2))-FIND(S$2,Mail!$A8)-LEN(S$2)-1)))))</f>
        <v/>
      </c>
      <c r="T10" s="8" t="str">
        <f>TRIM(CLEAN(IF(ISERROR(FIND(T$2,Mail!$A8)),"",MID(Mail!$A8,FIND(T$2,Mail!$A8)+LEN(T$2)+1,IF(ISERROR(FIND("■",Mail!$A8,FIND(T$2,Mail!$A8)+LEN(T$2))-FIND(T$2,Mail!$A8)-LEN(T$2)),LEN(Mail!$A8)-60-FIND(T$2,Mail!$A8)-LEN(T$2),FIND("■",Mail!$A8,FIND(T$2,Mail!$A8)+LEN(T$2))-FIND(T$2,Mail!$A8)-LEN(T$2)-1)))))</f>
        <v/>
      </c>
      <c r="U10" s="8" t="str">
        <f>TRIM(CLEAN(IF(ISERROR(FIND(U$2,Mail!$A8)),"",MID(Mail!$A8,FIND(U$2,Mail!$A8)+LEN(U$2)+1,IF(ISERROR(FIND("■",Mail!$A8,FIND(U$2,Mail!$A8)+LEN(U$2))-FIND(U$2,Mail!$A8)-LEN(U$2)),LEN(Mail!$A8)-60-FIND(U$2,Mail!$A8)-LEN(U$2),FIND("■",Mail!$A8,FIND(U$2,Mail!$A8)+LEN(U$2))-FIND(U$2,Mail!$A8)-LEN(U$2)-1)))))</f>
        <v/>
      </c>
      <c r="V10" s="8" t="str">
        <f>TRIM(CLEAN(IF(ISERROR(FIND(V$2,Mail!$A8)),"",MID(Mail!$A8,FIND(V$2,Mail!$A8)+LEN(V$2)+1,IF(ISERROR(FIND("■",Mail!$A8,FIND(V$2,Mail!$A8)+LEN(V$2))-FIND(V$2,Mail!$A8)-LEN(V$2)),LEN(Mail!$A8)-60-FIND(V$2,Mail!$A8)-LEN(V$2),FIND("■",Mail!$A8,FIND(V$2,Mail!$A8)+LEN(V$2))-FIND(V$2,Mail!$A8)-LEN(V$2)-1)))))</f>
        <v/>
      </c>
      <c r="W10" s="8" t="str">
        <f>TRIM(CLEAN(IF(ISERROR(FIND(W$2,Mail!$A8)),"",MID(Mail!$A8,FIND(W$2,Mail!$A8)+LEN(W$2)+1,IF(ISERROR(FIND("■",Mail!$A8,FIND(W$2,Mail!$A8)+LEN(W$2))-FIND(W$2,Mail!$A8)-LEN(W$2)),LEN(Mail!$A8)-60-FIND(W$2,Mail!$A8)-LEN(W$2),FIND("■",Mail!$A8,FIND(W$2,Mail!$A8)+LEN(W$2))-FIND(W$2,Mail!$A8)-LEN(W$2)-1)))))</f>
        <v/>
      </c>
      <c r="X10" s="8" t="str">
        <f>TRIM(IF(ISERROR(FIND(X$2,Mail!$A8)),"",MID(Mail!$A8,FIND(X$2,Mail!$A8)+LEN(X$2)+1,IF(ISERROR(FIND("■",Mail!$A8,FIND(X$2,Mail!$A8)+LEN(X$2))-FIND(X$2,Mail!$A8)-LEN(X$2)),LEN(Mail!$A8)-60-FIND(X$2,Mail!$A8)-LEN(X$2),FIND("■",Mail!$A8,FIND(X$2,Mail!$A8)+LEN(X$2))-FIND(X$2,Mail!$A8)-LEN(X$2)-1))))</f>
        <v/>
      </c>
      <c r="Y10" s="8" t="str">
        <f>TRIM(CLEAN(IF(ISERROR(FIND(Y$2,Mail!$A8)),"",MID(Mail!$A8,FIND(Y$2,Mail!$A8)+LEN(Y$2)+1,IF(ISERROR(FIND("■",Mail!$A8,FIND(Y$2,Mail!$A8)+LEN(Y$2))-FIND(Y$2,Mail!$A8)-LEN(Y$2)),LEN(Mail!$A8)-60-FIND(Y$2,Mail!$A8)-LEN(Y$2),FIND("■",Mail!$A8,FIND(Y$2,Mail!$A8)+LEN(Y$2))-FIND(Y$2,Mail!$A8)-LEN(Y$2)-1)))))</f>
        <v/>
      </c>
      <c r="Z10" s="8" t="str">
        <f>TRIM(CLEAN(IF(ISERROR(FIND(Z$2,Mail!$A8)),"",MID(Mail!$A8,FIND(Z$2,Mail!$A8)+LEN(Z$2)+1,IF(ISERROR(FIND("■",Mail!$A8,FIND(Z$2,Mail!$A8)+LEN(Z$2))-FIND(Z$2,Mail!$A8)-LEN(Z$2)),LEN(Mail!$A8)-60-FIND(Z$2,Mail!$A8)-LEN(Z$2),FIND("■",Mail!$A8,FIND(Z$2,Mail!$A8)+LEN(Z$2))-FIND(Z$2,Mail!$A8)-LEN(Z$2)-1)))))</f>
        <v/>
      </c>
      <c r="AA10" s="8" t="str">
        <f>TRIM(CLEAN(IF(ISERROR(FIND(AA$2,Mail!$A8)),"",MID(Mail!$A8,FIND(AA$2,Mail!$A8)+LEN(AA$2)+1,IF(ISERROR(FIND("■",Mail!$A8,FIND(AA$2,Mail!$A8)+LEN(AA$2))-FIND(AA$2,Mail!$A8)-LEN(AA$2)),LEN(Mail!$A8)-60-FIND(AA$2,Mail!$A8)-LEN(AA$2),FIND("■",Mail!$A8,FIND(AA$2,Mail!$A8)+LEN(AA$2))-FIND(AA$2,Mail!$A8)-LEN(AA$2)-1)))))</f>
        <v/>
      </c>
      <c r="AB10" s="8" t="str">
        <f>TRIM(CLEAN(IF(ISERROR(FIND(AB$2,Mail!$A8)),"",MID(Mail!$A8,FIND(AB$2,Mail!$A8)+LEN(AB$2)+1,IF(ISERROR(FIND("■",Mail!$A8,FIND(AB$2,Mail!$A8)+LEN(AB$2))-FIND(AB$2,Mail!$A8)-LEN(AB$2)),LEN(Mail!$A8)-60-FIND(AB$2,Mail!$A8)-LEN(AB$2),FIND("■",Mail!$A8,FIND(AB$2,Mail!$A8)+LEN(AB$2))-FIND(AB$2,Mail!$A8)-LEN(AB$2)-1)))))</f>
        <v/>
      </c>
      <c r="AC10" s="8" t="str">
        <f>TRIM(CLEAN(IF(ISERROR(FIND(AC$2,Mail!$A8)),"",MID(Mail!$A8,FIND(AC$2,Mail!$A8)+LEN(AC$2)+1,IF(ISERROR(FIND("■",Mail!$A8,FIND(AC$2,Mail!$A8)+LEN(AC$2))-FIND(AC$2,Mail!$A8)-LEN(AC$2)),LEN(Mail!$A8)-60-FIND(AC$2,Mail!$A8)-LEN(AC$2),FIND("■",Mail!$A8,FIND(AC$2,Mail!$A8)+LEN(AC$2))-FIND(AC$2,Mail!$A8)-LEN(AC$2)-1)))))</f>
        <v/>
      </c>
      <c r="AD10" s="8" t="str">
        <f>TRIM(CLEAN(IF(ISERROR(FIND(AD$2,Mail!$A8)),"",MID(Mail!$A8,FIND(AD$2,Mail!$A8)+LEN(AD$2)+1,IF(ISERROR(FIND("■",Mail!$A8,FIND(AD$2,Mail!$A8)+LEN(AD$2))-FIND(AD$2,Mail!$A8)-LEN(AD$2)),LEN(Mail!$A8)-60-FIND(AD$2,Mail!$A8)-LEN(AD$2),FIND("■",Mail!$A8,FIND(AD$2,Mail!$A8)+LEN(AD$2))-FIND(AD$2,Mail!$A8)-LEN(AD$2)-1)))))</f>
        <v/>
      </c>
      <c r="AE10" s="8" t="str">
        <f>TRIM(CLEAN(IF(ISERROR(FIND(AE$2,Mail!$A8)),"",MID(Mail!$A8,FIND(AE$2,Mail!$A8)+LEN(AE$2)+1,IF(ISERROR(FIND("■",Mail!$A8,FIND(AE$2,Mail!$A8)+LEN(AE$2))-FIND(AE$2,Mail!$A8)-LEN(AE$2)),LEN(Mail!$A8)-60-FIND(AE$2,Mail!$A8)-LEN(AE$2),FIND("■",Mail!$A8,FIND(AE$2,Mail!$A8)+LEN(AE$2))-FIND(AE$2,Mail!$A8)-LEN(AE$2)-1)))))</f>
        <v/>
      </c>
      <c r="AF10" s="8" t="str">
        <f>TRIM(CLEAN(IF(ISERROR(FIND(AF$2,Mail!$A8)),"",MID(Mail!$A8,FIND(AF$2,Mail!$A8)+LEN(AF$2)+1,IF(ISERROR(FIND("■",Mail!$A8,FIND(AF$2,Mail!$A8)+LEN(AF$2))-FIND(AF$2,Mail!$A8)-LEN(AF$2)),LEN(Mail!$A8)-60-FIND(AF$2,Mail!$A8)-LEN(AF$2),FIND("■",Mail!$A8,FIND(AF$2,Mail!$A8)+LEN(AF$2))-FIND(AF$2,Mail!$A8)-LEN(AF$2)-1)))))</f>
        <v/>
      </c>
      <c r="AG10" s="8" t="str">
        <f>TRIM(IF(ISERROR(FIND(AG$2,Mail!$A8)),"",MID(Mail!$A8,FIND(AG$2,Mail!$A8)+LEN(AG$2)+1,IF(ISERROR(FIND("■",Mail!$A8,FIND(AG$2,Mail!$A8)+LEN(AG$2))-FIND(AG$2,Mail!$A8)-LEN(AG$2)),LEN(Mail!$A8)-60-FIND(AG$2,Mail!$A8)-LEN(AG$2),FIND("■",Mail!$A8,FIND(AG$2,Mail!$A8)+LEN(AG$2))-FIND(AG$2,Mail!$A8)-LEN(AG$2)-1))))</f>
        <v/>
      </c>
      <c r="AH10" s="8" t="str">
        <f>TRIM(IF(ISERROR(FIND(AH$2,Mail!$A8)),"",MID(Mail!$A8,FIND(AH$2,Mail!$A8)+LEN(AH$2)+1,IF(ISERROR(FIND("■",Mail!$A8,FIND(AH$2,Mail!$A8)+LEN(AH$2))-FIND(AH$2,Mail!$A8)-LEN(AH$2)),LEN(Mail!$A8)-60-FIND(AH$2,Mail!$A8)-LEN(AH$2),FIND("■",Mail!$A8,FIND(AH$2,Mail!$A8)+LEN(AH$2))-FIND(AH$2,Mail!$A8)-LEN(AH$2)-1))))</f>
        <v/>
      </c>
      <c r="AI10" s="8" t="str">
        <f>TRIM(IF(ISERROR(FIND(AI$2,Mail!$A8)),"",MID(Mail!$A8,FIND(AI$2,Mail!$A8)+LEN(AI$2)+1,IF(ISERROR(FIND("■",Mail!$A8,FIND(AI$2,Mail!$A8)+LEN(AI$2))-FIND(AI$2,Mail!$A8)-LEN(AI$2)),LEN(Mail!$A8)-60-FIND(AI$2,Mail!$A8)-LEN(AI$2),FIND("■",Mail!$A8,FIND(AI$2,Mail!$A8)+LEN(AI$2))-FIND(AI$2,Mail!$A8)-LEN(AI$2)-1))))</f>
        <v/>
      </c>
    </row>
    <row r="11" spans="1:35" s="8" customFormat="1" x14ac:dyDescent="0.15">
      <c r="A11" s="9" t="str">
        <f t="shared" si="1"/>
        <v/>
      </c>
      <c r="B11" s="8" t="str">
        <f>CLEAN(SUBSTITUTE(IF(ISERROR(FIND("yokohama",Mail!$A9)),"",MID(Mail!$A9,FIND("yokohama",Mail!$A9)+LEN("yokohama")+1,FIND("件目",Mail!$A9,FIND("yokohama",Mail!$A9))-(FIND("yokohama",Mail!$A9)+LEN("yokohama")+1)))," ",""))</f>
        <v/>
      </c>
      <c r="C11" s="9" t="str">
        <f t="shared" si="0"/>
        <v/>
      </c>
      <c r="D11" s="9" t="str">
        <f t="shared" si="2"/>
        <v/>
      </c>
      <c r="E11" s="8" t="str">
        <f t="shared" si="3"/>
        <v/>
      </c>
      <c r="F11" s="8" t="str">
        <f>TRIM(CLEAN(IF(ISERROR(FIND(F$2,Mail!$A9)),"",MID(Mail!$A9,FIND(F$2,Mail!$A9)+LEN(F$2)+1,IF(ISERROR(FIND("■",Mail!$A9,FIND(F$2,Mail!$A9)+LEN(F$2))-FIND(F$2,Mail!$A9)-LEN(F$2)),LEN(Mail!$A9)-60-FIND(F$2,Mail!$A9)-LEN(F$2),FIND("■",Mail!$A9,FIND(F$2,Mail!$A9)+LEN(F$2))-FIND(F$2,Mail!$A9)-LEN(F$2)-1)))))</f>
        <v/>
      </c>
      <c r="G11" s="8" t="str">
        <f>TRIM(CLEAN(IF(ISERROR(FIND(G$2,Mail!$A9)),"",MID(Mail!$A9,FIND(G$2,Mail!$A9)+LEN(G$2)+1,IF(ISERROR(FIND("■",Mail!$A9,FIND(G$2,Mail!$A9)+LEN(G$2))-FIND(G$2,Mail!$A9)-LEN(G$2)),LEN(Mail!$A9)-60-FIND(G$2,Mail!$A9)-LEN(G$2),FIND("■",Mail!$A9,FIND(G$2,Mail!$A9)+LEN(G$2))-FIND(G$2,Mail!$A9)-LEN(G$2)-1)))))</f>
        <v/>
      </c>
      <c r="H11" s="8" t="str">
        <f>TRIM(CLEAN(IF(ISERROR(FIND(H$2,Mail!$A9)),"",MID(Mail!$A9,FIND(H$2,Mail!$A9)+LEN(H$2)+1,IF(ISERROR(FIND("■",Mail!$A9,FIND(H$2,Mail!$A9)+LEN(H$2))-FIND(H$2,Mail!$A9)-LEN(H$2)),LEN(Mail!$A9)-60-FIND(H$2,Mail!$A9)-LEN(H$2),FIND("■",Mail!$A9,FIND(H$2,Mail!$A9)+LEN(H$2))-FIND(H$2,Mail!$A9)-LEN(H$2)-1)))))</f>
        <v/>
      </c>
      <c r="I11" s="8" t="str">
        <f>TRIM(CLEAN(IF(ISERROR(FIND(I$2,Mail!$A9)),"",MID(Mail!$A9,FIND(I$2,Mail!$A9)+LEN(I$2)+1,IF(ISERROR(FIND("■",Mail!$A9,FIND(I$2,Mail!$A9)+LEN(I$2))-FIND(I$2,Mail!$A9)-LEN(I$2)),LEN(Mail!$A9)-60-FIND(I$2,Mail!$A9)-LEN(I$2),FIND("■",Mail!$A9,FIND(I$2,Mail!$A9)+LEN(I$2))-FIND(I$2,Mail!$A9)-LEN(I$2)-1)))))</f>
        <v/>
      </c>
      <c r="J11" s="8" t="str">
        <f>TRIM(IF(ISERROR(FIND(J$2,Mail!$A9)),"",MID(Mail!$A9,FIND(J$2,Mail!$A9)+LEN(J$2)+1,IF(ISERROR(FIND("■",Mail!$A9,FIND(J$2,Mail!$A9)+LEN(J$2))-FIND(J$2,Mail!$A9)-LEN(J$2)),LEN(Mail!$A9)-60-FIND(J$2,Mail!$A9)-LEN(J$2),FIND("■",Mail!$A9,FIND(J$2,Mail!$A9)+LEN(J$2))-FIND(J$2,Mail!$A9)-LEN(J$2)-1))))</f>
        <v/>
      </c>
      <c r="K11" s="8" t="str">
        <f>TRIM(IF(ISERROR(FIND(K$2,Mail!$A9)),"",MID(Mail!$A9,FIND(K$2,Mail!$A9)+LEN(K$2)+1,IF(ISERROR(FIND("■",Mail!$A9,FIND(K$2,Mail!$A9)+LEN(K$2))-FIND(K$2,Mail!$A9)-LEN(K$2)),LEN(Mail!$A9)-60-FIND(K$2,Mail!$A9)-LEN(K$2),FIND("■",Mail!$A9,FIND(K$2,Mail!$A9)+LEN(K$2))-FIND(K$2,Mail!$A9)-LEN(K$2)-1))))</f>
        <v/>
      </c>
      <c r="L11" s="8" t="str">
        <f>TRIM(IF(ISERROR(FIND(L$2,Mail!$A9)),"",MID(Mail!$A9,FIND(L$2,Mail!$A9)+LEN(L$2)+1,IF(ISERROR(FIND("■",Mail!$A9,FIND(L$2,Mail!$A9)+LEN(L$2))-FIND(L$2,Mail!$A9)-LEN(L$2)),LEN(Mail!$A9)-60-FIND(L$2,Mail!$A9)-LEN(L$2),FIND("■",Mail!$A9,FIND(L$2,Mail!$A9)+LEN(L$2))-FIND(L$2,Mail!$A9)-LEN(L$2)-1))))</f>
        <v/>
      </c>
      <c r="M11" s="8" t="str">
        <f>TRIM(CLEAN(IF(ISERROR(FIND(M$2,Mail!$A9)),"",MID(Mail!$A9,FIND(M$2,Mail!$A9)+LEN(M$2)+1,IF(ISERROR(FIND("■",Mail!$A9,FIND(M$2,Mail!$A9)+LEN(M$2))-FIND(M$2,Mail!$A9)-LEN(M$2)),LEN(Mail!$A9)-60-FIND(M$2,Mail!$A9)-LEN(M$2),FIND("■",Mail!$A9,FIND(M$2,Mail!$A9)+LEN(M$2))-FIND(M$2,Mail!$A9)-LEN(M$2)-1)))))</f>
        <v/>
      </c>
      <c r="N11" s="8" t="str">
        <f>TRIM(CLEAN(IF(ISERROR(FIND(N$2,Mail!$A9)),"",MID(Mail!$A9,FIND(N$2,Mail!$A9)+LEN(N$2)+1,IF(ISERROR(FIND("■",Mail!$A9,FIND(N$2,Mail!$A9)+LEN(N$2))-FIND(N$2,Mail!$A9)-LEN(N$2)),LEN(Mail!$A9)-60-FIND(N$2,Mail!$A9)-LEN(N$2),FIND("■",Mail!$A9,FIND(N$2,Mail!$A9)+LEN(N$2))-FIND(N$2,Mail!$A9)-LEN(N$2)-1)))))</f>
        <v/>
      </c>
      <c r="O11" s="8" t="str">
        <f>TRIM(CLEAN(IF(ISERROR(FIND(O$2,Mail!$A9)),"",MID(Mail!$A9,FIND(O$2,Mail!$A9)+LEN(O$2)+1,IF(ISERROR(FIND("■",Mail!$A9,FIND(O$2,Mail!$A9)+LEN(O$2))-FIND(O$2,Mail!$A9)-LEN(O$2)),LEN(Mail!$A9)-60-FIND(O$2,Mail!$A9)-LEN(O$2),FIND("■",Mail!$A9,FIND(O$2,Mail!$A9)+LEN(O$2))-FIND(O$2,Mail!$A9)-LEN(O$2)-1)))))</f>
        <v/>
      </c>
      <c r="P11" s="8" t="str">
        <f>TRIM(CLEAN(IF(ISERROR(FIND(P$2,Mail!$A9)),"",MID(Mail!$A9,FIND(P$2,Mail!$A9)+LEN(P$2)+1,IF(ISERROR(FIND("■",Mail!$A9,FIND(P$2,Mail!$A9)+LEN(P$2))-FIND(P$2,Mail!$A9)-LEN(P$2)),LEN(Mail!$A9)-60-FIND(P$2,Mail!$A9)-LEN(P$2),FIND("■",Mail!$A9,FIND(P$2,Mail!$A9)+LEN(P$2))-FIND(P$2,Mail!$A9)-LEN(P$2)-1)))))</f>
        <v/>
      </c>
      <c r="Q11" s="8" t="str">
        <f>TRIM(CLEAN(IF(ISERROR(FIND(Q$2,Mail!$A9)),"",MID(Mail!$A9,FIND(Q$2,Mail!$A9)+LEN(Q$2)+1,IF(ISERROR(FIND("■",Mail!$A9,FIND(Q$2,Mail!$A9)+LEN(Q$2))-FIND(Q$2,Mail!$A9)-LEN(Q$2)),LEN(Mail!$A9)-60-FIND(Q$2,Mail!$A9)-LEN(Q$2),FIND("■",Mail!$A9,FIND(Q$2,Mail!$A9)+LEN(Q$2))-FIND(Q$2,Mail!$A9)-LEN(Q$2)-1)))))</f>
        <v/>
      </c>
      <c r="R11" s="8" t="str">
        <f>TRIM(CLEAN(IF(ISERROR(FIND(R$2,Mail!$A9)),"",MID(Mail!$A9,FIND(R$2,Mail!$A9)+LEN(R$2)+1,IF(ISERROR(FIND("■",Mail!$A9,FIND(R$2,Mail!$A9)+LEN(R$2))-FIND(R$2,Mail!$A9)-LEN(R$2)),LEN(Mail!$A9)-60-FIND(R$2,Mail!$A9)-LEN(R$2),FIND("■",Mail!$A9,FIND(R$2,Mail!$A9)+LEN(R$2))-FIND(R$2,Mail!$A9)-LEN(R$2)-1)))))</f>
        <v/>
      </c>
      <c r="S11" s="8" t="str">
        <f>TRIM(CLEAN(IF(ISERROR(FIND(S$2,Mail!$A9)),"",MID(Mail!$A9,FIND(S$2,Mail!$A9)+LEN(S$2)+1,IF(ISERROR(FIND("■",Mail!$A9,FIND(S$2,Mail!$A9)+LEN(S$2))-FIND(S$2,Mail!$A9)-LEN(S$2)),LEN(Mail!$A9)-60-FIND(S$2,Mail!$A9)-LEN(S$2),FIND("■",Mail!$A9,FIND(S$2,Mail!$A9)+LEN(S$2))-FIND(S$2,Mail!$A9)-LEN(S$2)-1)))))</f>
        <v/>
      </c>
      <c r="T11" s="8" t="str">
        <f>TRIM(CLEAN(IF(ISERROR(FIND(T$2,Mail!$A9)),"",MID(Mail!$A9,FIND(T$2,Mail!$A9)+LEN(T$2)+1,IF(ISERROR(FIND("■",Mail!$A9,FIND(T$2,Mail!$A9)+LEN(T$2))-FIND(T$2,Mail!$A9)-LEN(T$2)),LEN(Mail!$A9)-60-FIND(T$2,Mail!$A9)-LEN(T$2),FIND("■",Mail!$A9,FIND(T$2,Mail!$A9)+LEN(T$2))-FIND(T$2,Mail!$A9)-LEN(T$2)-1)))))</f>
        <v/>
      </c>
      <c r="U11" s="8" t="str">
        <f>TRIM(CLEAN(IF(ISERROR(FIND(U$2,Mail!$A9)),"",MID(Mail!$A9,FIND(U$2,Mail!$A9)+LEN(U$2)+1,IF(ISERROR(FIND("■",Mail!$A9,FIND(U$2,Mail!$A9)+LEN(U$2))-FIND(U$2,Mail!$A9)-LEN(U$2)),LEN(Mail!$A9)-60-FIND(U$2,Mail!$A9)-LEN(U$2),FIND("■",Mail!$A9,FIND(U$2,Mail!$A9)+LEN(U$2))-FIND(U$2,Mail!$A9)-LEN(U$2)-1)))))</f>
        <v/>
      </c>
      <c r="V11" s="8" t="str">
        <f>TRIM(CLEAN(IF(ISERROR(FIND(V$2,Mail!$A9)),"",MID(Mail!$A9,FIND(V$2,Mail!$A9)+LEN(V$2)+1,IF(ISERROR(FIND("■",Mail!$A9,FIND(V$2,Mail!$A9)+LEN(V$2))-FIND(V$2,Mail!$A9)-LEN(V$2)),LEN(Mail!$A9)-60-FIND(V$2,Mail!$A9)-LEN(V$2),FIND("■",Mail!$A9,FIND(V$2,Mail!$A9)+LEN(V$2))-FIND(V$2,Mail!$A9)-LEN(V$2)-1)))))</f>
        <v/>
      </c>
      <c r="W11" s="8" t="str">
        <f>TRIM(CLEAN(IF(ISERROR(FIND(W$2,Mail!$A9)),"",MID(Mail!$A9,FIND(W$2,Mail!$A9)+LEN(W$2)+1,IF(ISERROR(FIND("■",Mail!$A9,FIND(W$2,Mail!$A9)+LEN(W$2))-FIND(W$2,Mail!$A9)-LEN(W$2)),LEN(Mail!$A9)-60-FIND(W$2,Mail!$A9)-LEN(W$2),FIND("■",Mail!$A9,FIND(W$2,Mail!$A9)+LEN(W$2))-FIND(W$2,Mail!$A9)-LEN(W$2)-1)))))</f>
        <v/>
      </c>
      <c r="X11" s="8" t="str">
        <f>TRIM(IF(ISERROR(FIND(X$2,Mail!$A9)),"",MID(Mail!$A9,FIND(X$2,Mail!$A9)+LEN(X$2)+1,IF(ISERROR(FIND("■",Mail!$A9,FIND(X$2,Mail!$A9)+LEN(X$2))-FIND(X$2,Mail!$A9)-LEN(X$2)),LEN(Mail!$A9)-60-FIND(X$2,Mail!$A9)-LEN(X$2),FIND("■",Mail!$A9,FIND(X$2,Mail!$A9)+LEN(X$2))-FIND(X$2,Mail!$A9)-LEN(X$2)-1))))</f>
        <v/>
      </c>
      <c r="Y11" s="8" t="str">
        <f>TRIM(CLEAN(IF(ISERROR(FIND(Y$2,Mail!$A9)),"",MID(Mail!$A9,FIND(Y$2,Mail!$A9)+LEN(Y$2)+1,IF(ISERROR(FIND("■",Mail!$A9,FIND(Y$2,Mail!$A9)+LEN(Y$2))-FIND(Y$2,Mail!$A9)-LEN(Y$2)),LEN(Mail!$A9)-60-FIND(Y$2,Mail!$A9)-LEN(Y$2),FIND("■",Mail!$A9,FIND(Y$2,Mail!$A9)+LEN(Y$2))-FIND(Y$2,Mail!$A9)-LEN(Y$2)-1)))))</f>
        <v/>
      </c>
      <c r="Z11" s="8" t="str">
        <f>TRIM(CLEAN(IF(ISERROR(FIND(Z$2,Mail!$A9)),"",MID(Mail!$A9,FIND(Z$2,Mail!$A9)+LEN(Z$2)+1,IF(ISERROR(FIND("■",Mail!$A9,FIND(Z$2,Mail!$A9)+LEN(Z$2))-FIND(Z$2,Mail!$A9)-LEN(Z$2)),LEN(Mail!$A9)-60-FIND(Z$2,Mail!$A9)-LEN(Z$2),FIND("■",Mail!$A9,FIND(Z$2,Mail!$A9)+LEN(Z$2))-FIND(Z$2,Mail!$A9)-LEN(Z$2)-1)))))</f>
        <v/>
      </c>
      <c r="AA11" s="8" t="str">
        <f>TRIM(CLEAN(IF(ISERROR(FIND(AA$2,Mail!$A9)),"",MID(Mail!$A9,FIND(AA$2,Mail!$A9)+LEN(AA$2)+1,IF(ISERROR(FIND("■",Mail!$A9,FIND(AA$2,Mail!$A9)+LEN(AA$2))-FIND(AA$2,Mail!$A9)-LEN(AA$2)),LEN(Mail!$A9)-60-FIND(AA$2,Mail!$A9)-LEN(AA$2),FIND("■",Mail!$A9,FIND(AA$2,Mail!$A9)+LEN(AA$2))-FIND(AA$2,Mail!$A9)-LEN(AA$2)-1)))))</f>
        <v/>
      </c>
      <c r="AB11" s="8" t="str">
        <f>TRIM(CLEAN(IF(ISERROR(FIND(AB$2,Mail!$A9)),"",MID(Mail!$A9,FIND(AB$2,Mail!$A9)+LEN(AB$2)+1,IF(ISERROR(FIND("■",Mail!$A9,FIND(AB$2,Mail!$A9)+LEN(AB$2))-FIND(AB$2,Mail!$A9)-LEN(AB$2)),LEN(Mail!$A9)-60-FIND(AB$2,Mail!$A9)-LEN(AB$2),FIND("■",Mail!$A9,FIND(AB$2,Mail!$A9)+LEN(AB$2))-FIND(AB$2,Mail!$A9)-LEN(AB$2)-1)))))</f>
        <v/>
      </c>
      <c r="AC11" s="8" t="str">
        <f>TRIM(CLEAN(IF(ISERROR(FIND(AC$2,Mail!$A9)),"",MID(Mail!$A9,FIND(AC$2,Mail!$A9)+LEN(AC$2)+1,IF(ISERROR(FIND("■",Mail!$A9,FIND(AC$2,Mail!$A9)+LEN(AC$2))-FIND(AC$2,Mail!$A9)-LEN(AC$2)),LEN(Mail!$A9)-60-FIND(AC$2,Mail!$A9)-LEN(AC$2),FIND("■",Mail!$A9,FIND(AC$2,Mail!$A9)+LEN(AC$2))-FIND(AC$2,Mail!$A9)-LEN(AC$2)-1)))))</f>
        <v/>
      </c>
      <c r="AD11" s="8" t="str">
        <f>TRIM(CLEAN(IF(ISERROR(FIND(AD$2,Mail!$A9)),"",MID(Mail!$A9,FIND(AD$2,Mail!$A9)+LEN(AD$2)+1,IF(ISERROR(FIND("■",Mail!$A9,FIND(AD$2,Mail!$A9)+LEN(AD$2))-FIND(AD$2,Mail!$A9)-LEN(AD$2)),LEN(Mail!$A9)-60-FIND(AD$2,Mail!$A9)-LEN(AD$2),FIND("■",Mail!$A9,FIND(AD$2,Mail!$A9)+LEN(AD$2))-FIND(AD$2,Mail!$A9)-LEN(AD$2)-1)))))</f>
        <v/>
      </c>
      <c r="AE11" s="8" t="str">
        <f>TRIM(CLEAN(IF(ISERROR(FIND(AE$2,Mail!$A9)),"",MID(Mail!$A9,FIND(AE$2,Mail!$A9)+LEN(AE$2)+1,IF(ISERROR(FIND("■",Mail!$A9,FIND(AE$2,Mail!$A9)+LEN(AE$2))-FIND(AE$2,Mail!$A9)-LEN(AE$2)),LEN(Mail!$A9)-60-FIND(AE$2,Mail!$A9)-LEN(AE$2),FIND("■",Mail!$A9,FIND(AE$2,Mail!$A9)+LEN(AE$2))-FIND(AE$2,Mail!$A9)-LEN(AE$2)-1)))))</f>
        <v/>
      </c>
      <c r="AF11" s="8" t="str">
        <f>TRIM(CLEAN(IF(ISERROR(FIND(AF$2,Mail!$A9)),"",MID(Mail!$A9,FIND(AF$2,Mail!$A9)+LEN(AF$2)+1,IF(ISERROR(FIND("■",Mail!$A9,FIND(AF$2,Mail!$A9)+LEN(AF$2))-FIND(AF$2,Mail!$A9)-LEN(AF$2)),LEN(Mail!$A9)-60-FIND(AF$2,Mail!$A9)-LEN(AF$2),FIND("■",Mail!$A9,FIND(AF$2,Mail!$A9)+LEN(AF$2))-FIND(AF$2,Mail!$A9)-LEN(AF$2)-1)))))</f>
        <v/>
      </c>
      <c r="AG11" s="8" t="str">
        <f>TRIM(IF(ISERROR(FIND(AG$2,Mail!$A9)),"",MID(Mail!$A9,FIND(AG$2,Mail!$A9)+LEN(AG$2)+1,IF(ISERROR(FIND("■",Mail!$A9,FIND(AG$2,Mail!$A9)+LEN(AG$2))-FIND(AG$2,Mail!$A9)-LEN(AG$2)),LEN(Mail!$A9)-60-FIND(AG$2,Mail!$A9)-LEN(AG$2),FIND("■",Mail!$A9,FIND(AG$2,Mail!$A9)+LEN(AG$2))-FIND(AG$2,Mail!$A9)-LEN(AG$2)-1))))</f>
        <v/>
      </c>
      <c r="AH11" s="8" t="str">
        <f>TRIM(IF(ISERROR(FIND(AH$2,Mail!$A9)),"",MID(Mail!$A9,FIND(AH$2,Mail!$A9)+LEN(AH$2)+1,IF(ISERROR(FIND("■",Mail!$A9,FIND(AH$2,Mail!$A9)+LEN(AH$2))-FIND(AH$2,Mail!$A9)-LEN(AH$2)),LEN(Mail!$A9)-60-FIND(AH$2,Mail!$A9)-LEN(AH$2),FIND("■",Mail!$A9,FIND(AH$2,Mail!$A9)+LEN(AH$2))-FIND(AH$2,Mail!$A9)-LEN(AH$2)-1))))</f>
        <v/>
      </c>
      <c r="AI11" s="8" t="str">
        <f>TRIM(IF(ISERROR(FIND(AI$2,Mail!$A9)),"",MID(Mail!$A9,FIND(AI$2,Mail!$A9)+LEN(AI$2)+1,IF(ISERROR(FIND("■",Mail!$A9,FIND(AI$2,Mail!$A9)+LEN(AI$2))-FIND(AI$2,Mail!$A9)-LEN(AI$2)),LEN(Mail!$A9)-60-FIND(AI$2,Mail!$A9)-LEN(AI$2),FIND("■",Mail!$A9,FIND(AI$2,Mail!$A9)+LEN(AI$2))-FIND(AI$2,Mail!$A9)-LEN(AI$2)-1))))</f>
        <v/>
      </c>
    </row>
    <row r="12" spans="1:35" s="8" customFormat="1" x14ac:dyDescent="0.15">
      <c r="A12" s="9" t="str">
        <f t="shared" si="1"/>
        <v/>
      </c>
      <c r="B12" s="8" t="str">
        <f>CLEAN(SUBSTITUTE(IF(ISERROR(FIND("yokohama",Mail!$A10)),"",MID(Mail!$A10,FIND("yokohama",Mail!$A10)+LEN("yokohama")+1,FIND("件目",Mail!$A10,FIND("yokohama",Mail!$A10))-(FIND("yokohama",Mail!$A10)+LEN("yokohama")+1)))," ",""))</f>
        <v/>
      </c>
      <c r="C12" s="9" t="str">
        <f t="shared" si="0"/>
        <v/>
      </c>
      <c r="D12" s="9" t="str">
        <f t="shared" si="2"/>
        <v/>
      </c>
      <c r="E12" s="8" t="str">
        <f t="shared" si="3"/>
        <v/>
      </c>
      <c r="F12" s="8" t="str">
        <f>TRIM(CLEAN(IF(ISERROR(FIND(F$2,Mail!$A10)),"",MID(Mail!$A10,FIND(F$2,Mail!$A10)+LEN(F$2)+1,IF(ISERROR(FIND("■",Mail!$A10,FIND(F$2,Mail!$A10)+LEN(F$2))-FIND(F$2,Mail!$A10)-LEN(F$2)),LEN(Mail!$A10)-60-FIND(F$2,Mail!$A10)-LEN(F$2),FIND("■",Mail!$A10,FIND(F$2,Mail!$A10)+LEN(F$2))-FIND(F$2,Mail!$A10)-LEN(F$2)-1)))))</f>
        <v/>
      </c>
      <c r="G12" s="8" t="str">
        <f>TRIM(CLEAN(IF(ISERROR(FIND(G$2,Mail!$A10)),"",MID(Mail!$A10,FIND(G$2,Mail!$A10)+LEN(G$2)+1,IF(ISERROR(FIND("■",Mail!$A10,FIND(G$2,Mail!$A10)+LEN(G$2))-FIND(G$2,Mail!$A10)-LEN(G$2)),LEN(Mail!$A10)-60-FIND(G$2,Mail!$A10)-LEN(G$2),FIND("■",Mail!$A10,FIND(G$2,Mail!$A10)+LEN(G$2))-FIND(G$2,Mail!$A10)-LEN(G$2)-1)))))</f>
        <v/>
      </c>
      <c r="H12" s="8" t="str">
        <f>TRIM(CLEAN(IF(ISERROR(FIND(H$2,Mail!$A10)),"",MID(Mail!$A10,FIND(H$2,Mail!$A10)+LEN(H$2)+1,IF(ISERROR(FIND("■",Mail!$A10,FIND(H$2,Mail!$A10)+LEN(H$2))-FIND(H$2,Mail!$A10)-LEN(H$2)),LEN(Mail!$A10)-60-FIND(H$2,Mail!$A10)-LEN(H$2),FIND("■",Mail!$A10,FIND(H$2,Mail!$A10)+LEN(H$2))-FIND(H$2,Mail!$A10)-LEN(H$2)-1)))))</f>
        <v/>
      </c>
      <c r="I12" s="8" t="str">
        <f>TRIM(CLEAN(IF(ISERROR(FIND(I$2,Mail!$A10)),"",MID(Mail!$A10,FIND(I$2,Mail!$A10)+LEN(I$2)+1,IF(ISERROR(FIND("■",Mail!$A10,FIND(I$2,Mail!$A10)+LEN(I$2))-FIND(I$2,Mail!$A10)-LEN(I$2)),LEN(Mail!$A10)-60-FIND(I$2,Mail!$A10)-LEN(I$2),FIND("■",Mail!$A10,FIND(I$2,Mail!$A10)+LEN(I$2))-FIND(I$2,Mail!$A10)-LEN(I$2)-1)))))</f>
        <v/>
      </c>
      <c r="J12" s="8" t="str">
        <f>TRIM(IF(ISERROR(FIND(J$2,Mail!$A10)),"",MID(Mail!$A10,FIND(J$2,Mail!$A10)+LEN(J$2)+1,IF(ISERROR(FIND("■",Mail!$A10,FIND(J$2,Mail!$A10)+LEN(J$2))-FIND(J$2,Mail!$A10)-LEN(J$2)),LEN(Mail!$A10)-60-FIND(J$2,Mail!$A10)-LEN(J$2),FIND("■",Mail!$A10,FIND(J$2,Mail!$A10)+LEN(J$2))-FIND(J$2,Mail!$A10)-LEN(J$2)-1))))</f>
        <v/>
      </c>
      <c r="K12" s="8" t="str">
        <f>TRIM(IF(ISERROR(FIND(K$2,Mail!$A10)),"",MID(Mail!$A10,FIND(K$2,Mail!$A10)+LEN(K$2)+1,IF(ISERROR(FIND("■",Mail!$A10,FIND(K$2,Mail!$A10)+LEN(K$2))-FIND(K$2,Mail!$A10)-LEN(K$2)),LEN(Mail!$A10)-60-FIND(K$2,Mail!$A10)-LEN(K$2),FIND("■",Mail!$A10,FIND(K$2,Mail!$A10)+LEN(K$2))-FIND(K$2,Mail!$A10)-LEN(K$2)-1))))</f>
        <v/>
      </c>
      <c r="L12" s="8" t="str">
        <f>TRIM(IF(ISERROR(FIND(L$2,Mail!$A10)),"",MID(Mail!$A10,FIND(L$2,Mail!$A10)+LEN(L$2)+1,IF(ISERROR(FIND("■",Mail!$A10,FIND(L$2,Mail!$A10)+LEN(L$2))-FIND(L$2,Mail!$A10)-LEN(L$2)),LEN(Mail!$A10)-60-FIND(L$2,Mail!$A10)-LEN(L$2),FIND("■",Mail!$A10,FIND(L$2,Mail!$A10)+LEN(L$2))-FIND(L$2,Mail!$A10)-LEN(L$2)-1))))</f>
        <v/>
      </c>
      <c r="M12" s="8" t="str">
        <f>TRIM(CLEAN(IF(ISERROR(FIND(M$2,Mail!$A10)),"",MID(Mail!$A10,FIND(M$2,Mail!$A10)+LEN(M$2)+1,IF(ISERROR(FIND("■",Mail!$A10,FIND(M$2,Mail!$A10)+LEN(M$2))-FIND(M$2,Mail!$A10)-LEN(M$2)),LEN(Mail!$A10)-60-FIND(M$2,Mail!$A10)-LEN(M$2),FIND("■",Mail!$A10,FIND(M$2,Mail!$A10)+LEN(M$2))-FIND(M$2,Mail!$A10)-LEN(M$2)-1)))))</f>
        <v/>
      </c>
      <c r="N12" s="8" t="str">
        <f>TRIM(CLEAN(IF(ISERROR(FIND(N$2,Mail!$A10)),"",MID(Mail!$A10,FIND(N$2,Mail!$A10)+LEN(N$2)+1,IF(ISERROR(FIND("■",Mail!$A10,FIND(N$2,Mail!$A10)+LEN(N$2))-FIND(N$2,Mail!$A10)-LEN(N$2)),LEN(Mail!$A10)-60-FIND(N$2,Mail!$A10)-LEN(N$2),FIND("■",Mail!$A10,FIND(N$2,Mail!$A10)+LEN(N$2))-FIND(N$2,Mail!$A10)-LEN(N$2)-1)))))</f>
        <v/>
      </c>
      <c r="O12" s="8" t="str">
        <f>TRIM(CLEAN(IF(ISERROR(FIND(O$2,Mail!$A10)),"",MID(Mail!$A10,FIND(O$2,Mail!$A10)+LEN(O$2)+1,IF(ISERROR(FIND("■",Mail!$A10,FIND(O$2,Mail!$A10)+LEN(O$2))-FIND(O$2,Mail!$A10)-LEN(O$2)),LEN(Mail!$A10)-60-FIND(O$2,Mail!$A10)-LEN(O$2),FIND("■",Mail!$A10,FIND(O$2,Mail!$A10)+LEN(O$2))-FIND(O$2,Mail!$A10)-LEN(O$2)-1)))))</f>
        <v/>
      </c>
      <c r="P12" s="8" t="str">
        <f>TRIM(CLEAN(IF(ISERROR(FIND(P$2,Mail!$A10)),"",MID(Mail!$A10,FIND(P$2,Mail!$A10)+LEN(P$2)+1,IF(ISERROR(FIND("■",Mail!$A10,FIND(P$2,Mail!$A10)+LEN(P$2))-FIND(P$2,Mail!$A10)-LEN(P$2)),LEN(Mail!$A10)-60-FIND(P$2,Mail!$A10)-LEN(P$2),FIND("■",Mail!$A10,FIND(P$2,Mail!$A10)+LEN(P$2))-FIND(P$2,Mail!$A10)-LEN(P$2)-1)))))</f>
        <v/>
      </c>
      <c r="Q12" s="8" t="str">
        <f>TRIM(CLEAN(IF(ISERROR(FIND(Q$2,Mail!$A10)),"",MID(Mail!$A10,FIND(Q$2,Mail!$A10)+LEN(Q$2)+1,IF(ISERROR(FIND("■",Mail!$A10,FIND(Q$2,Mail!$A10)+LEN(Q$2))-FIND(Q$2,Mail!$A10)-LEN(Q$2)),LEN(Mail!$A10)-60-FIND(Q$2,Mail!$A10)-LEN(Q$2),FIND("■",Mail!$A10,FIND(Q$2,Mail!$A10)+LEN(Q$2))-FIND(Q$2,Mail!$A10)-LEN(Q$2)-1)))))</f>
        <v/>
      </c>
      <c r="R12" s="8" t="str">
        <f>TRIM(CLEAN(IF(ISERROR(FIND(R$2,Mail!$A10)),"",MID(Mail!$A10,FIND(R$2,Mail!$A10)+LEN(R$2)+1,IF(ISERROR(FIND("■",Mail!$A10,FIND(R$2,Mail!$A10)+LEN(R$2))-FIND(R$2,Mail!$A10)-LEN(R$2)),LEN(Mail!$A10)-60-FIND(R$2,Mail!$A10)-LEN(R$2),FIND("■",Mail!$A10,FIND(R$2,Mail!$A10)+LEN(R$2))-FIND(R$2,Mail!$A10)-LEN(R$2)-1)))))</f>
        <v/>
      </c>
      <c r="S12" s="8" t="str">
        <f>TRIM(CLEAN(IF(ISERROR(FIND(S$2,Mail!$A10)),"",MID(Mail!$A10,FIND(S$2,Mail!$A10)+LEN(S$2)+1,IF(ISERROR(FIND("■",Mail!$A10,FIND(S$2,Mail!$A10)+LEN(S$2))-FIND(S$2,Mail!$A10)-LEN(S$2)),LEN(Mail!$A10)-60-FIND(S$2,Mail!$A10)-LEN(S$2),FIND("■",Mail!$A10,FIND(S$2,Mail!$A10)+LEN(S$2))-FIND(S$2,Mail!$A10)-LEN(S$2)-1)))))</f>
        <v/>
      </c>
      <c r="T12" s="8" t="str">
        <f>TRIM(CLEAN(IF(ISERROR(FIND(T$2,Mail!$A10)),"",MID(Mail!$A10,FIND(T$2,Mail!$A10)+LEN(T$2)+1,IF(ISERROR(FIND("■",Mail!$A10,FIND(T$2,Mail!$A10)+LEN(T$2))-FIND(T$2,Mail!$A10)-LEN(T$2)),LEN(Mail!$A10)-60-FIND(T$2,Mail!$A10)-LEN(T$2),FIND("■",Mail!$A10,FIND(T$2,Mail!$A10)+LEN(T$2))-FIND(T$2,Mail!$A10)-LEN(T$2)-1)))))</f>
        <v/>
      </c>
      <c r="U12" s="8" t="str">
        <f>TRIM(CLEAN(IF(ISERROR(FIND(U$2,Mail!$A10)),"",MID(Mail!$A10,FIND(U$2,Mail!$A10)+LEN(U$2)+1,IF(ISERROR(FIND("■",Mail!$A10,FIND(U$2,Mail!$A10)+LEN(U$2))-FIND(U$2,Mail!$A10)-LEN(U$2)),LEN(Mail!$A10)-60-FIND(U$2,Mail!$A10)-LEN(U$2),FIND("■",Mail!$A10,FIND(U$2,Mail!$A10)+LEN(U$2))-FIND(U$2,Mail!$A10)-LEN(U$2)-1)))))</f>
        <v/>
      </c>
      <c r="V12" s="8" t="str">
        <f>TRIM(CLEAN(IF(ISERROR(FIND(V$2,Mail!$A10)),"",MID(Mail!$A10,FIND(V$2,Mail!$A10)+LEN(V$2)+1,IF(ISERROR(FIND("■",Mail!$A10,FIND(V$2,Mail!$A10)+LEN(V$2))-FIND(V$2,Mail!$A10)-LEN(V$2)),LEN(Mail!$A10)-60-FIND(V$2,Mail!$A10)-LEN(V$2),FIND("■",Mail!$A10,FIND(V$2,Mail!$A10)+LEN(V$2))-FIND(V$2,Mail!$A10)-LEN(V$2)-1)))))</f>
        <v/>
      </c>
      <c r="W12" s="8" t="str">
        <f>TRIM(CLEAN(IF(ISERROR(FIND(W$2,Mail!$A10)),"",MID(Mail!$A10,FIND(W$2,Mail!$A10)+LEN(W$2)+1,IF(ISERROR(FIND("■",Mail!$A10,FIND(W$2,Mail!$A10)+LEN(W$2))-FIND(W$2,Mail!$A10)-LEN(W$2)),LEN(Mail!$A10)-60-FIND(W$2,Mail!$A10)-LEN(W$2),FIND("■",Mail!$A10,FIND(W$2,Mail!$A10)+LEN(W$2))-FIND(W$2,Mail!$A10)-LEN(W$2)-1)))))</f>
        <v/>
      </c>
      <c r="X12" s="8" t="str">
        <f>TRIM(IF(ISERROR(FIND(X$2,Mail!$A10)),"",MID(Mail!$A10,FIND(X$2,Mail!$A10)+LEN(X$2)+1,IF(ISERROR(FIND("■",Mail!$A10,FIND(X$2,Mail!$A10)+LEN(X$2))-FIND(X$2,Mail!$A10)-LEN(X$2)),LEN(Mail!$A10)-60-FIND(X$2,Mail!$A10)-LEN(X$2),FIND("■",Mail!$A10,FIND(X$2,Mail!$A10)+LEN(X$2))-FIND(X$2,Mail!$A10)-LEN(X$2)-1))))</f>
        <v/>
      </c>
      <c r="Y12" s="8" t="str">
        <f>TRIM(CLEAN(IF(ISERROR(FIND(Y$2,Mail!$A10)),"",MID(Mail!$A10,FIND(Y$2,Mail!$A10)+LEN(Y$2)+1,IF(ISERROR(FIND("■",Mail!$A10,FIND(Y$2,Mail!$A10)+LEN(Y$2))-FIND(Y$2,Mail!$A10)-LEN(Y$2)),LEN(Mail!$A10)-60-FIND(Y$2,Mail!$A10)-LEN(Y$2),FIND("■",Mail!$A10,FIND(Y$2,Mail!$A10)+LEN(Y$2))-FIND(Y$2,Mail!$A10)-LEN(Y$2)-1)))))</f>
        <v/>
      </c>
      <c r="Z12" s="8" t="str">
        <f>TRIM(CLEAN(IF(ISERROR(FIND(Z$2,Mail!$A10)),"",MID(Mail!$A10,FIND(Z$2,Mail!$A10)+LEN(Z$2)+1,IF(ISERROR(FIND("■",Mail!$A10,FIND(Z$2,Mail!$A10)+LEN(Z$2))-FIND(Z$2,Mail!$A10)-LEN(Z$2)),LEN(Mail!$A10)-60-FIND(Z$2,Mail!$A10)-LEN(Z$2),FIND("■",Mail!$A10,FIND(Z$2,Mail!$A10)+LEN(Z$2))-FIND(Z$2,Mail!$A10)-LEN(Z$2)-1)))))</f>
        <v/>
      </c>
      <c r="AA12" s="8" t="str">
        <f>TRIM(CLEAN(IF(ISERROR(FIND(AA$2,Mail!$A10)),"",MID(Mail!$A10,FIND(AA$2,Mail!$A10)+LEN(AA$2)+1,IF(ISERROR(FIND("■",Mail!$A10,FIND(AA$2,Mail!$A10)+LEN(AA$2))-FIND(AA$2,Mail!$A10)-LEN(AA$2)),LEN(Mail!$A10)-60-FIND(AA$2,Mail!$A10)-LEN(AA$2),FIND("■",Mail!$A10,FIND(AA$2,Mail!$A10)+LEN(AA$2))-FIND(AA$2,Mail!$A10)-LEN(AA$2)-1)))))</f>
        <v/>
      </c>
      <c r="AB12" s="8" t="str">
        <f>TRIM(CLEAN(IF(ISERROR(FIND(AB$2,Mail!$A10)),"",MID(Mail!$A10,FIND(AB$2,Mail!$A10)+LEN(AB$2)+1,IF(ISERROR(FIND("■",Mail!$A10,FIND(AB$2,Mail!$A10)+LEN(AB$2))-FIND(AB$2,Mail!$A10)-LEN(AB$2)),LEN(Mail!$A10)-60-FIND(AB$2,Mail!$A10)-LEN(AB$2),FIND("■",Mail!$A10,FIND(AB$2,Mail!$A10)+LEN(AB$2))-FIND(AB$2,Mail!$A10)-LEN(AB$2)-1)))))</f>
        <v/>
      </c>
      <c r="AC12" s="8" t="str">
        <f>TRIM(CLEAN(IF(ISERROR(FIND(AC$2,Mail!$A10)),"",MID(Mail!$A10,FIND(AC$2,Mail!$A10)+LEN(AC$2)+1,IF(ISERROR(FIND("■",Mail!$A10,FIND(AC$2,Mail!$A10)+LEN(AC$2))-FIND(AC$2,Mail!$A10)-LEN(AC$2)),LEN(Mail!$A10)-60-FIND(AC$2,Mail!$A10)-LEN(AC$2),FIND("■",Mail!$A10,FIND(AC$2,Mail!$A10)+LEN(AC$2))-FIND(AC$2,Mail!$A10)-LEN(AC$2)-1)))))</f>
        <v/>
      </c>
      <c r="AD12" s="8" t="str">
        <f>TRIM(CLEAN(IF(ISERROR(FIND(AD$2,Mail!$A10)),"",MID(Mail!$A10,FIND(AD$2,Mail!$A10)+LEN(AD$2)+1,IF(ISERROR(FIND("■",Mail!$A10,FIND(AD$2,Mail!$A10)+LEN(AD$2))-FIND(AD$2,Mail!$A10)-LEN(AD$2)),LEN(Mail!$A10)-60-FIND(AD$2,Mail!$A10)-LEN(AD$2),FIND("■",Mail!$A10,FIND(AD$2,Mail!$A10)+LEN(AD$2))-FIND(AD$2,Mail!$A10)-LEN(AD$2)-1)))))</f>
        <v/>
      </c>
      <c r="AE12" s="8" t="str">
        <f>TRIM(CLEAN(IF(ISERROR(FIND(AE$2,Mail!$A10)),"",MID(Mail!$A10,FIND(AE$2,Mail!$A10)+LEN(AE$2)+1,IF(ISERROR(FIND("■",Mail!$A10,FIND(AE$2,Mail!$A10)+LEN(AE$2))-FIND(AE$2,Mail!$A10)-LEN(AE$2)),LEN(Mail!$A10)-60-FIND(AE$2,Mail!$A10)-LEN(AE$2),FIND("■",Mail!$A10,FIND(AE$2,Mail!$A10)+LEN(AE$2))-FIND(AE$2,Mail!$A10)-LEN(AE$2)-1)))))</f>
        <v/>
      </c>
      <c r="AF12" s="8" t="str">
        <f>TRIM(CLEAN(IF(ISERROR(FIND(AF$2,Mail!$A10)),"",MID(Mail!$A10,FIND(AF$2,Mail!$A10)+LEN(AF$2)+1,IF(ISERROR(FIND("■",Mail!$A10,FIND(AF$2,Mail!$A10)+LEN(AF$2))-FIND(AF$2,Mail!$A10)-LEN(AF$2)),LEN(Mail!$A10)-60-FIND(AF$2,Mail!$A10)-LEN(AF$2),FIND("■",Mail!$A10,FIND(AF$2,Mail!$A10)+LEN(AF$2))-FIND(AF$2,Mail!$A10)-LEN(AF$2)-1)))))</f>
        <v/>
      </c>
      <c r="AG12" s="8" t="str">
        <f>TRIM(IF(ISERROR(FIND(AG$2,Mail!$A10)),"",MID(Mail!$A10,FIND(AG$2,Mail!$A10)+LEN(AG$2)+1,IF(ISERROR(FIND("■",Mail!$A10,FIND(AG$2,Mail!$A10)+LEN(AG$2))-FIND(AG$2,Mail!$A10)-LEN(AG$2)),LEN(Mail!$A10)-60-FIND(AG$2,Mail!$A10)-LEN(AG$2),FIND("■",Mail!$A10,FIND(AG$2,Mail!$A10)+LEN(AG$2))-FIND(AG$2,Mail!$A10)-LEN(AG$2)-1))))</f>
        <v/>
      </c>
      <c r="AH12" s="8" t="str">
        <f>TRIM(IF(ISERROR(FIND(AH$2,Mail!$A10)),"",MID(Mail!$A10,FIND(AH$2,Mail!$A10)+LEN(AH$2)+1,IF(ISERROR(FIND("■",Mail!$A10,FIND(AH$2,Mail!$A10)+LEN(AH$2))-FIND(AH$2,Mail!$A10)-LEN(AH$2)),LEN(Mail!$A10)-60-FIND(AH$2,Mail!$A10)-LEN(AH$2),FIND("■",Mail!$A10,FIND(AH$2,Mail!$A10)+LEN(AH$2))-FIND(AH$2,Mail!$A10)-LEN(AH$2)-1))))</f>
        <v/>
      </c>
      <c r="AI12" s="8" t="str">
        <f>TRIM(IF(ISERROR(FIND(AI$2,Mail!$A10)),"",MID(Mail!$A10,FIND(AI$2,Mail!$A10)+LEN(AI$2)+1,IF(ISERROR(FIND("■",Mail!$A10,FIND(AI$2,Mail!$A10)+LEN(AI$2))-FIND(AI$2,Mail!$A10)-LEN(AI$2)),LEN(Mail!$A10)-60-FIND(AI$2,Mail!$A10)-LEN(AI$2),FIND("■",Mail!$A10,FIND(AI$2,Mail!$A10)+LEN(AI$2))-FIND(AI$2,Mail!$A10)-LEN(AI$2)-1))))</f>
        <v/>
      </c>
    </row>
    <row r="13" spans="1:35" s="8" customFormat="1" x14ac:dyDescent="0.15">
      <c r="A13" s="9" t="str">
        <f t="shared" si="1"/>
        <v/>
      </c>
      <c r="B13" s="8" t="str">
        <f>CLEAN(SUBSTITUTE(IF(ISERROR(FIND("yokohama",Mail!$A11)),"",MID(Mail!$A11,FIND("yokohama",Mail!$A11)+LEN("yokohama")+1,FIND("件目",Mail!$A11,FIND("yokohama",Mail!$A11))-(FIND("yokohama",Mail!$A11)+LEN("yokohama")+1)))," ",""))</f>
        <v/>
      </c>
      <c r="C13" s="9" t="str">
        <f t="shared" si="0"/>
        <v/>
      </c>
      <c r="D13" s="9" t="str">
        <f t="shared" si="2"/>
        <v/>
      </c>
      <c r="E13" s="8" t="str">
        <f t="shared" si="3"/>
        <v/>
      </c>
      <c r="F13" s="8" t="str">
        <f>TRIM(CLEAN(IF(ISERROR(FIND(F$2,Mail!$A11)),"",MID(Mail!$A11,FIND(F$2,Mail!$A11)+LEN(F$2)+1,IF(ISERROR(FIND("■",Mail!$A11,FIND(F$2,Mail!$A11)+LEN(F$2))-FIND(F$2,Mail!$A11)-LEN(F$2)),LEN(Mail!$A11)-60-FIND(F$2,Mail!$A11)-LEN(F$2),FIND("■",Mail!$A11,FIND(F$2,Mail!$A11)+LEN(F$2))-FIND(F$2,Mail!$A11)-LEN(F$2)-1)))))</f>
        <v/>
      </c>
      <c r="G13" s="8" t="str">
        <f>TRIM(CLEAN(IF(ISERROR(FIND(G$2,Mail!$A11)),"",MID(Mail!$A11,FIND(G$2,Mail!$A11)+LEN(G$2)+1,IF(ISERROR(FIND("■",Mail!$A11,FIND(G$2,Mail!$A11)+LEN(G$2))-FIND(G$2,Mail!$A11)-LEN(G$2)),LEN(Mail!$A11)-60-FIND(G$2,Mail!$A11)-LEN(G$2),FIND("■",Mail!$A11,FIND(G$2,Mail!$A11)+LEN(G$2))-FIND(G$2,Mail!$A11)-LEN(G$2)-1)))))</f>
        <v/>
      </c>
      <c r="H13" s="8" t="str">
        <f>TRIM(CLEAN(IF(ISERROR(FIND(H$2,Mail!$A11)),"",MID(Mail!$A11,FIND(H$2,Mail!$A11)+LEN(H$2)+1,IF(ISERROR(FIND("■",Mail!$A11,FIND(H$2,Mail!$A11)+LEN(H$2))-FIND(H$2,Mail!$A11)-LEN(H$2)),LEN(Mail!$A11)-60-FIND(H$2,Mail!$A11)-LEN(H$2),FIND("■",Mail!$A11,FIND(H$2,Mail!$A11)+LEN(H$2))-FIND(H$2,Mail!$A11)-LEN(H$2)-1)))))</f>
        <v/>
      </c>
      <c r="I13" s="8" t="str">
        <f>TRIM(CLEAN(IF(ISERROR(FIND(I$2,Mail!$A11)),"",MID(Mail!$A11,FIND(I$2,Mail!$A11)+LEN(I$2)+1,IF(ISERROR(FIND("■",Mail!$A11,FIND(I$2,Mail!$A11)+LEN(I$2))-FIND(I$2,Mail!$A11)-LEN(I$2)),LEN(Mail!$A11)-60-FIND(I$2,Mail!$A11)-LEN(I$2),FIND("■",Mail!$A11,FIND(I$2,Mail!$A11)+LEN(I$2))-FIND(I$2,Mail!$A11)-LEN(I$2)-1)))))</f>
        <v/>
      </c>
      <c r="J13" s="8" t="str">
        <f>TRIM(IF(ISERROR(FIND(J$2,Mail!$A11)),"",MID(Mail!$A11,FIND(J$2,Mail!$A11)+LEN(J$2)+1,IF(ISERROR(FIND("■",Mail!$A11,FIND(J$2,Mail!$A11)+LEN(J$2))-FIND(J$2,Mail!$A11)-LEN(J$2)),LEN(Mail!$A11)-60-FIND(J$2,Mail!$A11)-LEN(J$2),FIND("■",Mail!$A11,FIND(J$2,Mail!$A11)+LEN(J$2))-FIND(J$2,Mail!$A11)-LEN(J$2)-1))))</f>
        <v/>
      </c>
      <c r="K13" s="8" t="str">
        <f>TRIM(IF(ISERROR(FIND(K$2,Mail!$A11)),"",MID(Mail!$A11,FIND(K$2,Mail!$A11)+LEN(K$2)+1,IF(ISERROR(FIND("■",Mail!$A11,FIND(K$2,Mail!$A11)+LEN(K$2))-FIND(K$2,Mail!$A11)-LEN(K$2)),LEN(Mail!$A11)-60-FIND(K$2,Mail!$A11)-LEN(K$2),FIND("■",Mail!$A11,FIND(K$2,Mail!$A11)+LEN(K$2))-FIND(K$2,Mail!$A11)-LEN(K$2)-1))))</f>
        <v/>
      </c>
      <c r="L13" s="8" t="str">
        <f>TRIM(IF(ISERROR(FIND(L$2,Mail!$A11)),"",MID(Mail!$A11,FIND(L$2,Mail!$A11)+LEN(L$2)+1,IF(ISERROR(FIND("■",Mail!$A11,FIND(L$2,Mail!$A11)+LEN(L$2))-FIND(L$2,Mail!$A11)-LEN(L$2)),LEN(Mail!$A11)-60-FIND(L$2,Mail!$A11)-LEN(L$2),FIND("■",Mail!$A11,FIND(L$2,Mail!$A11)+LEN(L$2))-FIND(L$2,Mail!$A11)-LEN(L$2)-1))))</f>
        <v/>
      </c>
      <c r="M13" s="8" t="str">
        <f>TRIM(CLEAN(IF(ISERROR(FIND(M$2,Mail!$A11)),"",MID(Mail!$A11,FIND(M$2,Mail!$A11)+LEN(M$2)+1,IF(ISERROR(FIND("■",Mail!$A11,FIND(M$2,Mail!$A11)+LEN(M$2))-FIND(M$2,Mail!$A11)-LEN(M$2)),LEN(Mail!$A11)-60-FIND(M$2,Mail!$A11)-LEN(M$2),FIND("■",Mail!$A11,FIND(M$2,Mail!$A11)+LEN(M$2))-FIND(M$2,Mail!$A11)-LEN(M$2)-1)))))</f>
        <v/>
      </c>
      <c r="N13" s="8" t="str">
        <f>TRIM(CLEAN(IF(ISERROR(FIND(N$2,Mail!$A11)),"",MID(Mail!$A11,FIND(N$2,Mail!$A11)+LEN(N$2)+1,IF(ISERROR(FIND("■",Mail!$A11,FIND(N$2,Mail!$A11)+LEN(N$2))-FIND(N$2,Mail!$A11)-LEN(N$2)),LEN(Mail!$A11)-60-FIND(N$2,Mail!$A11)-LEN(N$2),FIND("■",Mail!$A11,FIND(N$2,Mail!$A11)+LEN(N$2))-FIND(N$2,Mail!$A11)-LEN(N$2)-1)))))</f>
        <v/>
      </c>
      <c r="O13" s="8" t="str">
        <f>TRIM(CLEAN(IF(ISERROR(FIND(O$2,Mail!$A11)),"",MID(Mail!$A11,FIND(O$2,Mail!$A11)+LEN(O$2)+1,IF(ISERROR(FIND("■",Mail!$A11,FIND(O$2,Mail!$A11)+LEN(O$2))-FIND(O$2,Mail!$A11)-LEN(O$2)),LEN(Mail!$A11)-60-FIND(O$2,Mail!$A11)-LEN(O$2),FIND("■",Mail!$A11,FIND(O$2,Mail!$A11)+LEN(O$2))-FIND(O$2,Mail!$A11)-LEN(O$2)-1)))))</f>
        <v/>
      </c>
      <c r="P13" s="8" t="str">
        <f>TRIM(CLEAN(IF(ISERROR(FIND(P$2,Mail!$A11)),"",MID(Mail!$A11,FIND(P$2,Mail!$A11)+LEN(P$2)+1,IF(ISERROR(FIND("■",Mail!$A11,FIND(P$2,Mail!$A11)+LEN(P$2))-FIND(P$2,Mail!$A11)-LEN(P$2)),LEN(Mail!$A11)-60-FIND(P$2,Mail!$A11)-LEN(P$2),FIND("■",Mail!$A11,FIND(P$2,Mail!$A11)+LEN(P$2))-FIND(P$2,Mail!$A11)-LEN(P$2)-1)))))</f>
        <v/>
      </c>
      <c r="Q13" s="8" t="str">
        <f>TRIM(CLEAN(IF(ISERROR(FIND(Q$2,Mail!$A11)),"",MID(Mail!$A11,FIND(Q$2,Mail!$A11)+LEN(Q$2)+1,IF(ISERROR(FIND("■",Mail!$A11,FIND(Q$2,Mail!$A11)+LEN(Q$2))-FIND(Q$2,Mail!$A11)-LEN(Q$2)),LEN(Mail!$A11)-60-FIND(Q$2,Mail!$A11)-LEN(Q$2),FIND("■",Mail!$A11,FIND(Q$2,Mail!$A11)+LEN(Q$2))-FIND(Q$2,Mail!$A11)-LEN(Q$2)-1)))))</f>
        <v/>
      </c>
      <c r="R13" s="8" t="str">
        <f>TRIM(CLEAN(IF(ISERROR(FIND(R$2,Mail!$A11)),"",MID(Mail!$A11,FIND(R$2,Mail!$A11)+LEN(R$2)+1,IF(ISERROR(FIND("■",Mail!$A11,FIND(R$2,Mail!$A11)+LEN(R$2))-FIND(R$2,Mail!$A11)-LEN(R$2)),LEN(Mail!$A11)-60-FIND(R$2,Mail!$A11)-LEN(R$2),FIND("■",Mail!$A11,FIND(R$2,Mail!$A11)+LEN(R$2))-FIND(R$2,Mail!$A11)-LEN(R$2)-1)))))</f>
        <v/>
      </c>
      <c r="S13" s="8" t="str">
        <f>TRIM(CLEAN(IF(ISERROR(FIND(S$2,Mail!$A11)),"",MID(Mail!$A11,FIND(S$2,Mail!$A11)+LEN(S$2)+1,IF(ISERROR(FIND("■",Mail!$A11,FIND(S$2,Mail!$A11)+LEN(S$2))-FIND(S$2,Mail!$A11)-LEN(S$2)),LEN(Mail!$A11)-60-FIND(S$2,Mail!$A11)-LEN(S$2),FIND("■",Mail!$A11,FIND(S$2,Mail!$A11)+LEN(S$2))-FIND(S$2,Mail!$A11)-LEN(S$2)-1)))))</f>
        <v/>
      </c>
      <c r="T13" s="8" t="str">
        <f>TRIM(CLEAN(IF(ISERROR(FIND(T$2,Mail!$A11)),"",MID(Mail!$A11,FIND(T$2,Mail!$A11)+LEN(T$2)+1,IF(ISERROR(FIND("■",Mail!$A11,FIND(T$2,Mail!$A11)+LEN(T$2))-FIND(T$2,Mail!$A11)-LEN(T$2)),LEN(Mail!$A11)-60-FIND(T$2,Mail!$A11)-LEN(T$2),FIND("■",Mail!$A11,FIND(T$2,Mail!$A11)+LEN(T$2))-FIND(T$2,Mail!$A11)-LEN(T$2)-1)))))</f>
        <v/>
      </c>
      <c r="U13" s="8" t="str">
        <f>TRIM(CLEAN(IF(ISERROR(FIND(U$2,Mail!$A11)),"",MID(Mail!$A11,FIND(U$2,Mail!$A11)+LEN(U$2)+1,IF(ISERROR(FIND("■",Mail!$A11,FIND(U$2,Mail!$A11)+LEN(U$2))-FIND(U$2,Mail!$A11)-LEN(U$2)),LEN(Mail!$A11)-60-FIND(U$2,Mail!$A11)-LEN(U$2),FIND("■",Mail!$A11,FIND(U$2,Mail!$A11)+LEN(U$2))-FIND(U$2,Mail!$A11)-LEN(U$2)-1)))))</f>
        <v/>
      </c>
      <c r="V13" s="8" t="str">
        <f>TRIM(CLEAN(IF(ISERROR(FIND(V$2,Mail!$A11)),"",MID(Mail!$A11,FIND(V$2,Mail!$A11)+LEN(V$2)+1,IF(ISERROR(FIND("■",Mail!$A11,FIND(V$2,Mail!$A11)+LEN(V$2))-FIND(V$2,Mail!$A11)-LEN(V$2)),LEN(Mail!$A11)-60-FIND(V$2,Mail!$A11)-LEN(V$2),FIND("■",Mail!$A11,FIND(V$2,Mail!$A11)+LEN(V$2))-FIND(V$2,Mail!$A11)-LEN(V$2)-1)))))</f>
        <v/>
      </c>
      <c r="W13" s="8" t="str">
        <f>TRIM(CLEAN(IF(ISERROR(FIND(W$2,Mail!$A11)),"",MID(Mail!$A11,FIND(W$2,Mail!$A11)+LEN(W$2)+1,IF(ISERROR(FIND("■",Mail!$A11,FIND(W$2,Mail!$A11)+LEN(W$2))-FIND(W$2,Mail!$A11)-LEN(W$2)),LEN(Mail!$A11)-60-FIND(W$2,Mail!$A11)-LEN(W$2),FIND("■",Mail!$A11,FIND(W$2,Mail!$A11)+LEN(W$2))-FIND(W$2,Mail!$A11)-LEN(W$2)-1)))))</f>
        <v/>
      </c>
      <c r="X13" s="8" t="str">
        <f>TRIM(IF(ISERROR(FIND(X$2,Mail!$A11)),"",MID(Mail!$A11,FIND(X$2,Mail!$A11)+LEN(X$2)+1,IF(ISERROR(FIND("■",Mail!$A11,FIND(X$2,Mail!$A11)+LEN(X$2))-FIND(X$2,Mail!$A11)-LEN(X$2)),LEN(Mail!$A11)-60-FIND(X$2,Mail!$A11)-LEN(X$2),FIND("■",Mail!$A11,FIND(X$2,Mail!$A11)+LEN(X$2))-FIND(X$2,Mail!$A11)-LEN(X$2)-1))))</f>
        <v/>
      </c>
      <c r="Y13" s="8" t="str">
        <f>TRIM(CLEAN(IF(ISERROR(FIND(Y$2,Mail!$A11)),"",MID(Mail!$A11,FIND(Y$2,Mail!$A11)+LEN(Y$2)+1,IF(ISERROR(FIND("■",Mail!$A11,FIND(Y$2,Mail!$A11)+LEN(Y$2))-FIND(Y$2,Mail!$A11)-LEN(Y$2)),LEN(Mail!$A11)-60-FIND(Y$2,Mail!$A11)-LEN(Y$2),FIND("■",Mail!$A11,FIND(Y$2,Mail!$A11)+LEN(Y$2))-FIND(Y$2,Mail!$A11)-LEN(Y$2)-1)))))</f>
        <v/>
      </c>
      <c r="Z13" s="8" t="str">
        <f>TRIM(CLEAN(IF(ISERROR(FIND(Z$2,Mail!$A11)),"",MID(Mail!$A11,FIND(Z$2,Mail!$A11)+LEN(Z$2)+1,IF(ISERROR(FIND("■",Mail!$A11,FIND(Z$2,Mail!$A11)+LEN(Z$2))-FIND(Z$2,Mail!$A11)-LEN(Z$2)),LEN(Mail!$A11)-60-FIND(Z$2,Mail!$A11)-LEN(Z$2),FIND("■",Mail!$A11,FIND(Z$2,Mail!$A11)+LEN(Z$2))-FIND(Z$2,Mail!$A11)-LEN(Z$2)-1)))))</f>
        <v/>
      </c>
      <c r="AA13" s="8" t="str">
        <f>TRIM(CLEAN(IF(ISERROR(FIND(AA$2,Mail!$A11)),"",MID(Mail!$A11,FIND(AA$2,Mail!$A11)+LEN(AA$2)+1,IF(ISERROR(FIND("■",Mail!$A11,FIND(AA$2,Mail!$A11)+LEN(AA$2))-FIND(AA$2,Mail!$A11)-LEN(AA$2)),LEN(Mail!$A11)-60-FIND(AA$2,Mail!$A11)-LEN(AA$2),FIND("■",Mail!$A11,FIND(AA$2,Mail!$A11)+LEN(AA$2))-FIND(AA$2,Mail!$A11)-LEN(AA$2)-1)))))</f>
        <v/>
      </c>
      <c r="AB13" s="8" t="str">
        <f>TRIM(CLEAN(IF(ISERROR(FIND(AB$2,Mail!$A11)),"",MID(Mail!$A11,FIND(AB$2,Mail!$A11)+LEN(AB$2)+1,IF(ISERROR(FIND("■",Mail!$A11,FIND(AB$2,Mail!$A11)+LEN(AB$2))-FIND(AB$2,Mail!$A11)-LEN(AB$2)),LEN(Mail!$A11)-60-FIND(AB$2,Mail!$A11)-LEN(AB$2),FIND("■",Mail!$A11,FIND(AB$2,Mail!$A11)+LEN(AB$2))-FIND(AB$2,Mail!$A11)-LEN(AB$2)-1)))))</f>
        <v/>
      </c>
      <c r="AC13" s="8" t="str">
        <f>TRIM(CLEAN(IF(ISERROR(FIND(AC$2,Mail!$A11)),"",MID(Mail!$A11,FIND(AC$2,Mail!$A11)+LEN(AC$2)+1,IF(ISERROR(FIND("■",Mail!$A11,FIND(AC$2,Mail!$A11)+LEN(AC$2))-FIND(AC$2,Mail!$A11)-LEN(AC$2)),LEN(Mail!$A11)-60-FIND(AC$2,Mail!$A11)-LEN(AC$2),FIND("■",Mail!$A11,FIND(AC$2,Mail!$A11)+LEN(AC$2))-FIND(AC$2,Mail!$A11)-LEN(AC$2)-1)))))</f>
        <v/>
      </c>
      <c r="AD13" s="8" t="str">
        <f>TRIM(CLEAN(IF(ISERROR(FIND(AD$2,Mail!$A11)),"",MID(Mail!$A11,FIND(AD$2,Mail!$A11)+LEN(AD$2)+1,IF(ISERROR(FIND("■",Mail!$A11,FIND(AD$2,Mail!$A11)+LEN(AD$2))-FIND(AD$2,Mail!$A11)-LEN(AD$2)),LEN(Mail!$A11)-60-FIND(AD$2,Mail!$A11)-LEN(AD$2),FIND("■",Mail!$A11,FIND(AD$2,Mail!$A11)+LEN(AD$2))-FIND(AD$2,Mail!$A11)-LEN(AD$2)-1)))))</f>
        <v/>
      </c>
      <c r="AE13" s="8" t="str">
        <f>TRIM(CLEAN(IF(ISERROR(FIND(AE$2,Mail!$A11)),"",MID(Mail!$A11,FIND(AE$2,Mail!$A11)+LEN(AE$2)+1,IF(ISERROR(FIND("■",Mail!$A11,FIND(AE$2,Mail!$A11)+LEN(AE$2))-FIND(AE$2,Mail!$A11)-LEN(AE$2)),LEN(Mail!$A11)-60-FIND(AE$2,Mail!$A11)-LEN(AE$2),FIND("■",Mail!$A11,FIND(AE$2,Mail!$A11)+LEN(AE$2))-FIND(AE$2,Mail!$A11)-LEN(AE$2)-1)))))</f>
        <v/>
      </c>
      <c r="AF13" s="8" t="str">
        <f>TRIM(CLEAN(IF(ISERROR(FIND(AF$2,Mail!$A11)),"",MID(Mail!$A11,FIND(AF$2,Mail!$A11)+LEN(AF$2)+1,IF(ISERROR(FIND("■",Mail!$A11,FIND(AF$2,Mail!$A11)+LEN(AF$2))-FIND(AF$2,Mail!$A11)-LEN(AF$2)),LEN(Mail!$A11)-60-FIND(AF$2,Mail!$A11)-LEN(AF$2),FIND("■",Mail!$A11,FIND(AF$2,Mail!$A11)+LEN(AF$2))-FIND(AF$2,Mail!$A11)-LEN(AF$2)-1)))))</f>
        <v/>
      </c>
      <c r="AG13" s="8" t="str">
        <f>TRIM(IF(ISERROR(FIND(AG$2,Mail!$A11)),"",MID(Mail!$A11,FIND(AG$2,Mail!$A11)+LEN(AG$2)+1,IF(ISERROR(FIND("■",Mail!$A11,FIND(AG$2,Mail!$A11)+LEN(AG$2))-FIND(AG$2,Mail!$A11)-LEN(AG$2)),LEN(Mail!$A11)-60-FIND(AG$2,Mail!$A11)-LEN(AG$2),FIND("■",Mail!$A11,FIND(AG$2,Mail!$A11)+LEN(AG$2))-FIND(AG$2,Mail!$A11)-LEN(AG$2)-1))))</f>
        <v/>
      </c>
      <c r="AH13" s="8" t="str">
        <f>TRIM(IF(ISERROR(FIND(AH$2,Mail!$A11)),"",MID(Mail!$A11,FIND(AH$2,Mail!$A11)+LEN(AH$2)+1,IF(ISERROR(FIND("■",Mail!$A11,FIND(AH$2,Mail!$A11)+LEN(AH$2))-FIND(AH$2,Mail!$A11)-LEN(AH$2)),LEN(Mail!$A11)-60-FIND(AH$2,Mail!$A11)-LEN(AH$2),FIND("■",Mail!$A11,FIND(AH$2,Mail!$A11)+LEN(AH$2))-FIND(AH$2,Mail!$A11)-LEN(AH$2)-1))))</f>
        <v/>
      </c>
      <c r="AI13" s="8" t="str">
        <f>TRIM(IF(ISERROR(FIND(AI$2,Mail!$A11)),"",MID(Mail!$A11,FIND(AI$2,Mail!$A11)+LEN(AI$2)+1,IF(ISERROR(FIND("■",Mail!$A11,FIND(AI$2,Mail!$A11)+LEN(AI$2))-FIND(AI$2,Mail!$A11)-LEN(AI$2)),LEN(Mail!$A11)-60-FIND(AI$2,Mail!$A11)-LEN(AI$2),FIND("■",Mail!$A11,FIND(AI$2,Mail!$A11)+LEN(AI$2))-FIND(AI$2,Mail!$A11)-LEN(AI$2)-1))))</f>
        <v/>
      </c>
    </row>
    <row r="14" spans="1:35" s="8" customFormat="1" x14ac:dyDescent="0.15">
      <c r="A14" s="9" t="str">
        <f t="shared" si="1"/>
        <v/>
      </c>
      <c r="B14" s="8" t="str">
        <f>CLEAN(SUBSTITUTE(IF(ISERROR(FIND("yokohama",Mail!$A12)),"",MID(Mail!$A12,FIND("yokohama",Mail!$A12)+LEN("yokohama")+1,FIND("件目",Mail!$A12,FIND("yokohama",Mail!$A12))-(FIND("yokohama",Mail!$A12)+LEN("yokohama")+1)))," ",""))</f>
        <v/>
      </c>
      <c r="C14" s="9" t="str">
        <f t="shared" si="0"/>
        <v/>
      </c>
      <c r="D14" s="9" t="str">
        <f t="shared" si="2"/>
        <v/>
      </c>
      <c r="E14" s="8" t="str">
        <f t="shared" si="3"/>
        <v/>
      </c>
      <c r="F14" s="8" t="str">
        <f>TRIM(CLEAN(IF(ISERROR(FIND(F$2,Mail!$A12)),"",MID(Mail!$A12,FIND(F$2,Mail!$A12)+LEN(F$2)+1,IF(ISERROR(FIND("■",Mail!$A12,FIND(F$2,Mail!$A12)+LEN(F$2))-FIND(F$2,Mail!$A12)-LEN(F$2)),LEN(Mail!$A12)-60-FIND(F$2,Mail!$A12)-LEN(F$2),FIND("■",Mail!$A12,FIND(F$2,Mail!$A12)+LEN(F$2))-FIND(F$2,Mail!$A12)-LEN(F$2)-1)))))</f>
        <v/>
      </c>
      <c r="G14" s="8" t="str">
        <f>TRIM(CLEAN(IF(ISERROR(FIND(G$2,Mail!$A12)),"",MID(Mail!$A12,FIND(G$2,Mail!$A12)+LEN(G$2)+1,IF(ISERROR(FIND("■",Mail!$A12,FIND(G$2,Mail!$A12)+LEN(G$2))-FIND(G$2,Mail!$A12)-LEN(G$2)),LEN(Mail!$A12)-60-FIND(G$2,Mail!$A12)-LEN(G$2),FIND("■",Mail!$A12,FIND(G$2,Mail!$A12)+LEN(G$2))-FIND(G$2,Mail!$A12)-LEN(G$2)-1)))))</f>
        <v/>
      </c>
      <c r="H14" s="8" t="str">
        <f>TRIM(CLEAN(IF(ISERROR(FIND(H$2,Mail!$A12)),"",MID(Mail!$A12,FIND(H$2,Mail!$A12)+LEN(H$2)+1,IF(ISERROR(FIND("■",Mail!$A12,FIND(H$2,Mail!$A12)+LEN(H$2))-FIND(H$2,Mail!$A12)-LEN(H$2)),LEN(Mail!$A12)-60-FIND(H$2,Mail!$A12)-LEN(H$2),FIND("■",Mail!$A12,FIND(H$2,Mail!$A12)+LEN(H$2))-FIND(H$2,Mail!$A12)-LEN(H$2)-1)))))</f>
        <v/>
      </c>
      <c r="I14" s="8" t="str">
        <f>TRIM(CLEAN(IF(ISERROR(FIND(I$2,Mail!$A12)),"",MID(Mail!$A12,FIND(I$2,Mail!$A12)+LEN(I$2)+1,IF(ISERROR(FIND("■",Mail!$A12,FIND(I$2,Mail!$A12)+LEN(I$2))-FIND(I$2,Mail!$A12)-LEN(I$2)),LEN(Mail!$A12)-60-FIND(I$2,Mail!$A12)-LEN(I$2),FIND("■",Mail!$A12,FIND(I$2,Mail!$A12)+LEN(I$2))-FIND(I$2,Mail!$A12)-LEN(I$2)-1)))))</f>
        <v/>
      </c>
      <c r="J14" s="8" t="str">
        <f>TRIM(IF(ISERROR(FIND(J$2,Mail!$A12)),"",MID(Mail!$A12,FIND(J$2,Mail!$A12)+LEN(J$2)+1,IF(ISERROR(FIND("■",Mail!$A12,FIND(J$2,Mail!$A12)+LEN(J$2))-FIND(J$2,Mail!$A12)-LEN(J$2)),LEN(Mail!$A12)-60-FIND(J$2,Mail!$A12)-LEN(J$2),FIND("■",Mail!$A12,FIND(J$2,Mail!$A12)+LEN(J$2))-FIND(J$2,Mail!$A12)-LEN(J$2)-1))))</f>
        <v/>
      </c>
      <c r="K14" s="8" t="str">
        <f>TRIM(IF(ISERROR(FIND(K$2,Mail!$A12)),"",MID(Mail!$A12,FIND(K$2,Mail!$A12)+LEN(K$2)+1,IF(ISERROR(FIND("■",Mail!$A12,FIND(K$2,Mail!$A12)+LEN(K$2))-FIND(K$2,Mail!$A12)-LEN(K$2)),LEN(Mail!$A12)-60-FIND(K$2,Mail!$A12)-LEN(K$2),FIND("■",Mail!$A12,FIND(K$2,Mail!$A12)+LEN(K$2))-FIND(K$2,Mail!$A12)-LEN(K$2)-1))))</f>
        <v/>
      </c>
      <c r="L14" s="8" t="str">
        <f>TRIM(IF(ISERROR(FIND(L$2,Mail!$A12)),"",MID(Mail!$A12,FIND(L$2,Mail!$A12)+LEN(L$2)+1,IF(ISERROR(FIND("■",Mail!$A12,FIND(L$2,Mail!$A12)+LEN(L$2))-FIND(L$2,Mail!$A12)-LEN(L$2)),LEN(Mail!$A12)-60-FIND(L$2,Mail!$A12)-LEN(L$2),FIND("■",Mail!$A12,FIND(L$2,Mail!$A12)+LEN(L$2))-FIND(L$2,Mail!$A12)-LEN(L$2)-1))))</f>
        <v/>
      </c>
      <c r="M14" s="8" t="str">
        <f>TRIM(CLEAN(IF(ISERROR(FIND(M$2,Mail!$A12)),"",MID(Mail!$A12,FIND(M$2,Mail!$A12)+LEN(M$2)+1,IF(ISERROR(FIND("■",Mail!$A12,FIND(M$2,Mail!$A12)+LEN(M$2))-FIND(M$2,Mail!$A12)-LEN(M$2)),LEN(Mail!$A12)-60-FIND(M$2,Mail!$A12)-LEN(M$2),FIND("■",Mail!$A12,FIND(M$2,Mail!$A12)+LEN(M$2))-FIND(M$2,Mail!$A12)-LEN(M$2)-1)))))</f>
        <v/>
      </c>
      <c r="N14" s="8" t="str">
        <f>TRIM(CLEAN(IF(ISERROR(FIND(N$2,Mail!$A12)),"",MID(Mail!$A12,FIND(N$2,Mail!$A12)+LEN(N$2)+1,IF(ISERROR(FIND("■",Mail!$A12,FIND(N$2,Mail!$A12)+LEN(N$2))-FIND(N$2,Mail!$A12)-LEN(N$2)),LEN(Mail!$A12)-60-FIND(N$2,Mail!$A12)-LEN(N$2),FIND("■",Mail!$A12,FIND(N$2,Mail!$A12)+LEN(N$2))-FIND(N$2,Mail!$A12)-LEN(N$2)-1)))))</f>
        <v/>
      </c>
      <c r="O14" s="8" t="str">
        <f>TRIM(CLEAN(IF(ISERROR(FIND(O$2,Mail!$A12)),"",MID(Mail!$A12,FIND(O$2,Mail!$A12)+LEN(O$2)+1,IF(ISERROR(FIND("■",Mail!$A12,FIND(O$2,Mail!$A12)+LEN(O$2))-FIND(O$2,Mail!$A12)-LEN(O$2)),LEN(Mail!$A12)-60-FIND(O$2,Mail!$A12)-LEN(O$2),FIND("■",Mail!$A12,FIND(O$2,Mail!$A12)+LEN(O$2))-FIND(O$2,Mail!$A12)-LEN(O$2)-1)))))</f>
        <v/>
      </c>
      <c r="P14" s="8" t="str">
        <f>TRIM(CLEAN(IF(ISERROR(FIND(P$2,Mail!$A12)),"",MID(Mail!$A12,FIND(P$2,Mail!$A12)+LEN(P$2)+1,IF(ISERROR(FIND("■",Mail!$A12,FIND(P$2,Mail!$A12)+LEN(P$2))-FIND(P$2,Mail!$A12)-LEN(P$2)),LEN(Mail!$A12)-60-FIND(P$2,Mail!$A12)-LEN(P$2),FIND("■",Mail!$A12,FIND(P$2,Mail!$A12)+LEN(P$2))-FIND(P$2,Mail!$A12)-LEN(P$2)-1)))))</f>
        <v/>
      </c>
      <c r="Q14" s="8" t="str">
        <f>TRIM(CLEAN(IF(ISERROR(FIND(Q$2,Mail!$A12)),"",MID(Mail!$A12,FIND(Q$2,Mail!$A12)+LEN(Q$2)+1,IF(ISERROR(FIND("■",Mail!$A12,FIND(Q$2,Mail!$A12)+LEN(Q$2))-FIND(Q$2,Mail!$A12)-LEN(Q$2)),LEN(Mail!$A12)-60-FIND(Q$2,Mail!$A12)-LEN(Q$2),FIND("■",Mail!$A12,FIND(Q$2,Mail!$A12)+LEN(Q$2))-FIND(Q$2,Mail!$A12)-LEN(Q$2)-1)))))</f>
        <v/>
      </c>
      <c r="R14" s="8" t="str">
        <f>TRIM(CLEAN(IF(ISERROR(FIND(R$2,Mail!$A12)),"",MID(Mail!$A12,FIND(R$2,Mail!$A12)+LEN(R$2)+1,IF(ISERROR(FIND("■",Mail!$A12,FIND(R$2,Mail!$A12)+LEN(R$2))-FIND(R$2,Mail!$A12)-LEN(R$2)),LEN(Mail!$A12)-60-FIND(R$2,Mail!$A12)-LEN(R$2),FIND("■",Mail!$A12,FIND(R$2,Mail!$A12)+LEN(R$2))-FIND(R$2,Mail!$A12)-LEN(R$2)-1)))))</f>
        <v/>
      </c>
      <c r="S14" s="8" t="str">
        <f>TRIM(CLEAN(IF(ISERROR(FIND(S$2,Mail!$A12)),"",MID(Mail!$A12,FIND(S$2,Mail!$A12)+LEN(S$2)+1,IF(ISERROR(FIND("■",Mail!$A12,FIND(S$2,Mail!$A12)+LEN(S$2))-FIND(S$2,Mail!$A12)-LEN(S$2)),LEN(Mail!$A12)-60-FIND(S$2,Mail!$A12)-LEN(S$2),FIND("■",Mail!$A12,FIND(S$2,Mail!$A12)+LEN(S$2))-FIND(S$2,Mail!$A12)-LEN(S$2)-1)))))</f>
        <v/>
      </c>
      <c r="T14" s="8" t="str">
        <f>TRIM(CLEAN(IF(ISERROR(FIND(T$2,Mail!$A12)),"",MID(Mail!$A12,FIND(T$2,Mail!$A12)+LEN(T$2)+1,IF(ISERROR(FIND("■",Mail!$A12,FIND(T$2,Mail!$A12)+LEN(T$2))-FIND(T$2,Mail!$A12)-LEN(T$2)),LEN(Mail!$A12)-60-FIND(T$2,Mail!$A12)-LEN(T$2),FIND("■",Mail!$A12,FIND(T$2,Mail!$A12)+LEN(T$2))-FIND(T$2,Mail!$A12)-LEN(T$2)-1)))))</f>
        <v/>
      </c>
      <c r="U14" s="8" t="str">
        <f>TRIM(CLEAN(IF(ISERROR(FIND(U$2,Mail!$A12)),"",MID(Mail!$A12,FIND(U$2,Mail!$A12)+LEN(U$2)+1,IF(ISERROR(FIND("■",Mail!$A12,FIND(U$2,Mail!$A12)+LEN(U$2))-FIND(U$2,Mail!$A12)-LEN(U$2)),LEN(Mail!$A12)-60-FIND(U$2,Mail!$A12)-LEN(U$2),FIND("■",Mail!$A12,FIND(U$2,Mail!$A12)+LEN(U$2))-FIND(U$2,Mail!$A12)-LEN(U$2)-1)))))</f>
        <v/>
      </c>
      <c r="V14" s="8" t="str">
        <f>TRIM(CLEAN(IF(ISERROR(FIND(V$2,Mail!$A12)),"",MID(Mail!$A12,FIND(V$2,Mail!$A12)+LEN(V$2)+1,IF(ISERROR(FIND("■",Mail!$A12,FIND(V$2,Mail!$A12)+LEN(V$2))-FIND(V$2,Mail!$A12)-LEN(V$2)),LEN(Mail!$A12)-60-FIND(V$2,Mail!$A12)-LEN(V$2),FIND("■",Mail!$A12,FIND(V$2,Mail!$A12)+LEN(V$2))-FIND(V$2,Mail!$A12)-LEN(V$2)-1)))))</f>
        <v/>
      </c>
      <c r="W14" s="8" t="str">
        <f>TRIM(CLEAN(IF(ISERROR(FIND(W$2,Mail!$A12)),"",MID(Mail!$A12,FIND(W$2,Mail!$A12)+LEN(W$2)+1,IF(ISERROR(FIND("■",Mail!$A12,FIND(W$2,Mail!$A12)+LEN(W$2))-FIND(W$2,Mail!$A12)-LEN(W$2)),LEN(Mail!$A12)-60-FIND(W$2,Mail!$A12)-LEN(W$2),FIND("■",Mail!$A12,FIND(W$2,Mail!$A12)+LEN(W$2))-FIND(W$2,Mail!$A12)-LEN(W$2)-1)))))</f>
        <v/>
      </c>
      <c r="X14" s="8" t="str">
        <f>TRIM(IF(ISERROR(FIND(X$2,Mail!$A12)),"",MID(Mail!$A12,FIND(X$2,Mail!$A12)+LEN(X$2)+1,IF(ISERROR(FIND("■",Mail!$A12,FIND(X$2,Mail!$A12)+LEN(X$2))-FIND(X$2,Mail!$A12)-LEN(X$2)),LEN(Mail!$A12)-60-FIND(X$2,Mail!$A12)-LEN(X$2),FIND("■",Mail!$A12,FIND(X$2,Mail!$A12)+LEN(X$2))-FIND(X$2,Mail!$A12)-LEN(X$2)-1))))</f>
        <v/>
      </c>
      <c r="Y14" s="8" t="str">
        <f>TRIM(CLEAN(IF(ISERROR(FIND(Y$2,Mail!$A12)),"",MID(Mail!$A12,FIND(Y$2,Mail!$A12)+LEN(Y$2)+1,IF(ISERROR(FIND("■",Mail!$A12,FIND(Y$2,Mail!$A12)+LEN(Y$2))-FIND(Y$2,Mail!$A12)-LEN(Y$2)),LEN(Mail!$A12)-60-FIND(Y$2,Mail!$A12)-LEN(Y$2),FIND("■",Mail!$A12,FIND(Y$2,Mail!$A12)+LEN(Y$2))-FIND(Y$2,Mail!$A12)-LEN(Y$2)-1)))))</f>
        <v/>
      </c>
      <c r="Z14" s="8" t="str">
        <f>TRIM(CLEAN(IF(ISERROR(FIND(Z$2,Mail!$A12)),"",MID(Mail!$A12,FIND(Z$2,Mail!$A12)+LEN(Z$2)+1,IF(ISERROR(FIND("■",Mail!$A12,FIND(Z$2,Mail!$A12)+LEN(Z$2))-FIND(Z$2,Mail!$A12)-LEN(Z$2)),LEN(Mail!$A12)-60-FIND(Z$2,Mail!$A12)-LEN(Z$2),FIND("■",Mail!$A12,FIND(Z$2,Mail!$A12)+LEN(Z$2))-FIND(Z$2,Mail!$A12)-LEN(Z$2)-1)))))</f>
        <v/>
      </c>
      <c r="AA14" s="8" t="str">
        <f>TRIM(CLEAN(IF(ISERROR(FIND(AA$2,Mail!$A12)),"",MID(Mail!$A12,FIND(AA$2,Mail!$A12)+LEN(AA$2)+1,IF(ISERROR(FIND("■",Mail!$A12,FIND(AA$2,Mail!$A12)+LEN(AA$2))-FIND(AA$2,Mail!$A12)-LEN(AA$2)),LEN(Mail!$A12)-60-FIND(AA$2,Mail!$A12)-LEN(AA$2),FIND("■",Mail!$A12,FIND(AA$2,Mail!$A12)+LEN(AA$2))-FIND(AA$2,Mail!$A12)-LEN(AA$2)-1)))))</f>
        <v/>
      </c>
      <c r="AB14" s="8" t="str">
        <f>TRIM(CLEAN(IF(ISERROR(FIND(AB$2,Mail!$A12)),"",MID(Mail!$A12,FIND(AB$2,Mail!$A12)+LEN(AB$2)+1,IF(ISERROR(FIND("■",Mail!$A12,FIND(AB$2,Mail!$A12)+LEN(AB$2))-FIND(AB$2,Mail!$A12)-LEN(AB$2)),LEN(Mail!$A12)-60-FIND(AB$2,Mail!$A12)-LEN(AB$2),FIND("■",Mail!$A12,FIND(AB$2,Mail!$A12)+LEN(AB$2))-FIND(AB$2,Mail!$A12)-LEN(AB$2)-1)))))</f>
        <v/>
      </c>
      <c r="AC14" s="8" t="str">
        <f>TRIM(CLEAN(IF(ISERROR(FIND(AC$2,Mail!$A12)),"",MID(Mail!$A12,FIND(AC$2,Mail!$A12)+LEN(AC$2)+1,IF(ISERROR(FIND("■",Mail!$A12,FIND(AC$2,Mail!$A12)+LEN(AC$2))-FIND(AC$2,Mail!$A12)-LEN(AC$2)),LEN(Mail!$A12)-60-FIND(AC$2,Mail!$A12)-LEN(AC$2),FIND("■",Mail!$A12,FIND(AC$2,Mail!$A12)+LEN(AC$2))-FIND(AC$2,Mail!$A12)-LEN(AC$2)-1)))))</f>
        <v/>
      </c>
      <c r="AD14" s="8" t="str">
        <f>TRIM(CLEAN(IF(ISERROR(FIND(AD$2,Mail!$A12)),"",MID(Mail!$A12,FIND(AD$2,Mail!$A12)+LEN(AD$2)+1,IF(ISERROR(FIND("■",Mail!$A12,FIND(AD$2,Mail!$A12)+LEN(AD$2))-FIND(AD$2,Mail!$A12)-LEN(AD$2)),LEN(Mail!$A12)-60-FIND(AD$2,Mail!$A12)-LEN(AD$2),FIND("■",Mail!$A12,FIND(AD$2,Mail!$A12)+LEN(AD$2))-FIND(AD$2,Mail!$A12)-LEN(AD$2)-1)))))</f>
        <v/>
      </c>
      <c r="AE14" s="8" t="str">
        <f>TRIM(CLEAN(IF(ISERROR(FIND(AE$2,Mail!$A12)),"",MID(Mail!$A12,FIND(AE$2,Mail!$A12)+LEN(AE$2)+1,IF(ISERROR(FIND("■",Mail!$A12,FIND(AE$2,Mail!$A12)+LEN(AE$2))-FIND(AE$2,Mail!$A12)-LEN(AE$2)),LEN(Mail!$A12)-60-FIND(AE$2,Mail!$A12)-LEN(AE$2),FIND("■",Mail!$A12,FIND(AE$2,Mail!$A12)+LEN(AE$2))-FIND(AE$2,Mail!$A12)-LEN(AE$2)-1)))))</f>
        <v/>
      </c>
      <c r="AF14" s="8" t="str">
        <f>TRIM(CLEAN(IF(ISERROR(FIND(AF$2,Mail!$A12)),"",MID(Mail!$A12,FIND(AF$2,Mail!$A12)+LEN(AF$2)+1,IF(ISERROR(FIND("■",Mail!$A12,FIND(AF$2,Mail!$A12)+LEN(AF$2))-FIND(AF$2,Mail!$A12)-LEN(AF$2)),LEN(Mail!$A12)-60-FIND(AF$2,Mail!$A12)-LEN(AF$2),FIND("■",Mail!$A12,FIND(AF$2,Mail!$A12)+LEN(AF$2))-FIND(AF$2,Mail!$A12)-LEN(AF$2)-1)))))</f>
        <v/>
      </c>
      <c r="AG14" s="8" t="str">
        <f>TRIM(IF(ISERROR(FIND(AG$2,Mail!$A12)),"",MID(Mail!$A12,FIND(AG$2,Mail!$A12)+LEN(AG$2)+1,IF(ISERROR(FIND("■",Mail!$A12,FIND(AG$2,Mail!$A12)+LEN(AG$2))-FIND(AG$2,Mail!$A12)-LEN(AG$2)),LEN(Mail!$A12)-60-FIND(AG$2,Mail!$A12)-LEN(AG$2),FIND("■",Mail!$A12,FIND(AG$2,Mail!$A12)+LEN(AG$2))-FIND(AG$2,Mail!$A12)-LEN(AG$2)-1))))</f>
        <v/>
      </c>
      <c r="AH14" s="8" t="str">
        <f>TRIM(IF(ISERROR(FIND(AH$2,Mail!$A12)),"",MID(Mail!$A12,FIND(AH$2,Mail!$A12)+LEN(AH$2)+1,IF(ISERROR(FIND("■",Mail!$A12,FIND(AH$2,Mail!$A12)+LEN(AH$2))-FIND(AH$2,Mail!$A12)-LEN(AH$2)),LEN(Mail!$A12)-60-FIND(AH$2,Mail!$A12)-LEN(AH$2),FIND("■",Mail!$A12,FIND(AH$2,Mail!$A12)+LEN(AH$2))-FIND(AH$2,Mail!$A12)-LEN(AH$2)-1))))</f>
        <v/>
      </c>
      <c r="AI14" s="8" t="str">
        <f>TRIM(IF(ISERROR(FIND(AI$2,Mail!$A12)),"",MID(Mail!$A12,FIND(AI$2,Mail!$A12)+LEN(AI$2)+1,IF(ISERROR(FIND("■",Mail!$A12,FIND(AI$2,Mail!$A12)+LEN(AI$2))-FIND(AI$2,Mail!$A12)-LEN(AI$2)),LEN(Mail!$A12)-60-FIND(AI$2,Mail!$A12)-LEN(AI$2),FIND("■",Mail!$A12,FIND(AI$2,Mail!$A12)+LEN(AI$2))-FIND(AI$2,Mail!$A12)-LEN(AI$2)-1))))</f>
        <v/>
      </c>
    </row>
    <row r="15" spans="1:35" s="8" customFormat="1" x14ac:dyDescent="0.15">
      <c r="A15" s="9" t="str">
        <f t="shared" si="1"/>
        <v/>
      </c>
      <c r="B15" s="8" t="str">
        <f>CLEAN(SUBSTITUTE(IF(ISERROR(FIND("yokohama",Mail!$A13)),"",MID(Mail!$A13,FIND("yokohama",Mail!$A13)+LEN("yokohama")+1,FIND("件目",Mail!$A13,FIND("yokohama",Mail!$A13))-(FIND("yokohama",Mail!$A13)+LEN("yokohama")+1)))," ",""))</f>
        <v/>
      </c>
      <c r="C15" s="9" t="str">
        <f t="shared" si="0"/>
        <v/>
      </c>
      <c r="D15" s="9" t="str">
        <f t="shared" si="2"/>
        <v/>
      </c>
      <c r="E15" s="8" t="str">
        <f t="shared" si="3"/>
        <v/>
      </c>
      <c r="F15" s="8" t="str">
        <f>TRIM(CLEAN(IF(ISERROR(FIND(F$2,Mail!$A13)),"",MID(Mail!$A13,FIND(F$2,Mail!$A13)+LEN(F$2)+1,IF(ISERROR(FIND("■",Mail!$A13,FIND(F$2,Mail!$A13)+LEN(F$2))-FIND(F$2,Mail!$A13)-LEN(F$2)),LEN(Mail!$A13)-60-FIND(F$2,Mail!$A13)-LEN(F$2),FIND("■",Mail!$A13,FIND(F$2,Mail!$A13)+LEN(F$2))-FIND(F$2,Mail!$A13)-LEN(F$2)-1)))))</f>
        <v/>
      </c>
      <c r="G15" s="8" t="str">
        <f>TRIM(CLEAN(IF(ISERROR(FIND(G$2,Mail!$A13)),"",MID(Mail!$A13,FIND(G$2,Mail!$A13)+LEN(G$2)+1,IF(ISERROR(FIND("■",Mail!$A13,FIND(G$2,Mail!$A13)+LEN(G$2))-FIND(G$2,Mail!$A13)-LEN(G$2)),LEN(Mail!$A13)-60-FIND(G$2,Mail!$A13)-LEN(G$2),FIND("■",Mail!$A13,FIND(G$2,Mail!$A13)+LEN(G$2))-FIND(G$2,Mail!$A13)-LEN(G$2)-1)))))</f>
        <v/>
      </c>
      <c r="H15" s="8" t="str">
        <f>TRIM(CLEAN(IF(ISERROR(FIND(H$2,Mail!$A13)),"",MID(Mail!$A13,FIND(H$2,Mail!$A13)+LEN(H$2)+1,IF(ISERROR(FIND("■",Mail!$A13,FIND(H$2,Mail!$A13)+LEN(H$2))-FIND(H$2,Mail!$A13)-LEN(H$2)),LEN(Mail!$A13)-60-FIND(H$2,Mail!$A13)-LEN(H$2),FIND("■",Mail!$A13,FIND(H$2,Mail!$A13)+LEN(H$2))-FIND(H$2,Mail!$A13)-LEN(H$2)-1)))))</f>
        <v/>
      </c>
      <c r="I15" s="8" t="str">
        <f>TRIM(CLEAN(IF(ISERROR(FIND(I$2,Mail!$A13)),"",MID(Mail!$A13,FIND(I$2,Mail!$A13)+LEN(I$2)+1,IF(ISERROR(FIND("■",Mail!$A13,FIND(I$2,Mail!$A13)+LEN(I$2))-FIND(I$2,Mail!$A13)-LEN(I$2)),LEN(Mail!$A13)-60-FIND(I$2,Mail!$A13)-LEN(I$2),FIND("■",Mail!$A13,FIND(I$2,Mail!$A13)+LEN(I$2))-FIND(I$2,Mail!$A13)-LEN(I$2)-1)))))</f>
        <v/>
      </c>
      <c r="J15" s="8" t="str">
        <f>TRIM(IF(ISERROR(FIND(J$2,Mail!$A13)),"",MID(Mail!$A13,FIND(J$2,Mail!$A13)+LEN(J$2)+1,IF(ISERROR(FIND("■",Mail!$A13,FIND(J$2,Mail!$A13)+LEN(J$2))-FIND(J$2,Mail!$A13)-LEN(J$2)),LEN(Mail!$A13)-60-FIND(J$2,Mail!$A13)-LEN(J$2),FIND("■",Mail!$A13,FIND(J$2,Mail!$A13)+LEN(J$2))-FIND(J$2,Mail!$A13)-LEN(J$2)-1))))</f>
        <v/>
      </c>
      <c r="K15" s="8" t="str">
        <f>TRIM(IF(ISERROR(FIND(K$2,Mail!$A13)),"",MID(Mail!$A13,FIND(K$2,Mail!$A13)+LEN(K$2)+1,IF(ISERROR(FIND("■",Mail!$A13,FIND(K$2,Mail!$A13)+LEN(K$2))-FIND(K$2,Mail!$A13)-LEN(K$2)),LEN(Mail!$A13)-60-FIND(K$2,Mail!$A13)-LEN(K$2),FIND("■",Mail!$A13,FIND(K$2,Mail!$A13)+LEN(K$2))-FIND(K$2,Mail!$A13)-LEN(K$2)-1))))</f>
        <v/>
      </c>
      <c r="L15" s="8" t="str">
        <f>TRIM(IF(ISERROR(FIND(L$2,Mail!$A13)),"",MID(Mail!$A13,FIND(L$2,Mail!$A13)+LEN(L$2)+1,IF(ISERROR(FIND("■",Mail!$A13,FIND(L$2,Mail!$A13)+LEN(L$2))-FIND(L$2,Mail!$A13)-LEN(L$2)),LEN(Mail!$A13)-60-FIND(L$2,Mail!$A13)-LEN(L$2),FIND("■",Mail!$A13,FIND(L$2,Mail!$A13)+LEN(L$2))-FIND(L$2,Mail!$A13)-LEN(L$2)-1))))</f>
        <v/>
      </c>
      <c r="M15" s="8" t="str">
        <f>TRIM(CLEAN(IF(ISERROR(FIND(M$2,Mail!$A13)),"",MID(Mail!$A13,FIND(M$2,Mail!$A13)+LEN(M$2)+1,IF(ISERROR(FIND("■",Mail!$A13,FIND(M$2,Mail!$A13)+LEN(M$2))-FIND(M$2,Mail!$A13)-LEN(M$2)),LEN(Mail!$A13)-60-FIND(M$2,Mail!$A13)-LEN(M$2),FIND("■",Mail!$A13,FIND(M$2,Mail!$A13)+LEN(M$2))-FIND(M$2,Mail!$A13)-LEN(M$2)-1)))))</f>
        <v/>
      </c>
      <c r="N15" s="8" t="str">
        <f>TRIM(CLEAN(IF(ISERROR(FIND(N$2,Mail!$A13)),"",MID(Mail!$A13,FIND(N$2,Mail!$A13)+LEN(N$2)+1,IF(ISERROR(FIND("■",Mail!$A13,FIND(N$2,Mail!$A13)+LEN(N$2))-FIND(N$2,Mail!$A13)-LEN(N$2)),LEN(Mail!$A13)-60-FIND(N$2,Mail!$A13)-LEN(N$2),FIND("■",Mail!$A13,FIND(N$2,Mail!$A13)+LEN(N$2))-FIND(N$2,Mail!$A13)-LEN(N$2)-1)))))</f>
        <v/>
      </c>
      <c r="O15" s="8" t="str">
        <f>TRIM(CLEAN(IF(ISERROR(FIND(O$2,Mail!$A13)),"",MID(Mail!$A13,FIND(O$2,Mail!$A13)+LEN(O$2)+1,IF(ISERROR(FIND("■",Mail!$A13,FIND(O$2,Mail!$A13)+LEN(O$2))-FIND(O$2,Mail!$A13)-LEN(O$2)),LEN(Mail!$A13)-60-FIND(O$2,Mail!$A13)-LEN(O$2),FIND("■",Mail!$A13,FIND(O$2,Mail!$A13)+LEN(O$2))-FIND(O$2,Mail!$A13)-LEN(O$2)-1)))))</f>
        <v/>
      </c>
      <c r="P15" s="8" t="str">
        <f>TRIM(CLEAN(IF(ISERROR(FIND(P$2,Mail!$A13)),"",MID(Mail!$A13,FIND(P$2,Mail!$A13)+LEN(P$2)+1,IF(ISERROR(FIND("■",Mail!$A13,FIND(P$2,Mail!$A13)+LEN(P$2))-FIND(P$2,Mail!$A13)-LEN(P$2)),LEN(Mail!$A13)-60-FIND(P$2,Mail!$A13)-LEN(P$2),FIND("■",Mail!$A13,FIND(P$2,Mail!$A13)+LEN(P$2))-FIND(P$2,Mail!$A13)-LEN(P$2)-1)))))</f>
        <v/>
      </c>
      <c r="Q15" s="8" t="str">
        <f>TRIM(CLEAN(IF(ISERROR(FIND(Q$2,Mail!$A13)),"",MID(Mail!$A13,FIND(Q$2,Mail!$A13)+LEN(Q$2)+1,IF(ISERROR(FIND("■",Mail!$A13,FIND(Q$2,Mail!$A13)+LEN(Q$2))-FIND(Q$2,Mail!$A13)-LEN(Q$2)),LEN(Mail!$A13)-60-FIND(Q$2,Mail!$A13)-LEN(Q$2),FIND("■",Mail!$A13,FIND(Q$2,Mail!$A13)+LEN(Q$2))-FIND(Q$2,Mail!$A13)-LEN(Q$2)-1)))))</f>
        <v/>
      </c>
      <c r="R15" s="8" t="str">
        <f>TRIM(CLEAN(IF(ISERROR(FIND(R$2,Mail!$A13)),"",MID(Mail!$A13,FIND(R$2,Mail!$A13)+LEN(R$2)+1,IF(ISERROR(FIND("■",Mail!$A13,FIND(R$2,Mail!$A13)+LEN(R$2))-FIND(R$2,Mail!$A13)-LEN(R$2)),LEN(Mail!$A13)-60-FIND(R$2,Mail!$A13)-LEN(R$2),FIND("■",Mail!$A13,FIND(R$2,Mail!$A13)+LEN(R$2))-FIND(R$2,Mail!$A13)-LEN(R$2)-1)))))</f>
        <v/>
      </c>
      <c r="S15" s="8" t="str">
        <f>TRIM(CLEAN(IF(ISERROR(FIND(S$2,Mail!$A13)),"",MID(Mail!$A13,FIND(S$2,Mail!$A13)+LEN(S$2)+1,IF(ISERROR(FIND("■",Mail!$A13,FIND(S$2,Mail!$A13)+LEN(S$2))-FIND(S$2,Mail!$A13)-LEN(S$2)),LEN(Mail!$A13)-60-FIND(S$2,Mail!$A13)-LEN(S$2),FIND("■",Mail!$A13,FIND(S$2,Mail!$A13)+LEN(S$2))-FIND(S$2,Mail!$A13)-LEN(S$2)-1)))))</f>
        <v/>
      </c>
      <c r="T15" s="8" t="str">
        <f>TRIM(CLEAN(IF(ISERROR(FIND(T$2,Mail!$A13)),"",MID(Mail!$A13,FIND(T$2,Mail!$A13)+LEN(T$2)+1,IF(ISERROR(FIND("■",Mail!$A13,FIND(T$2,Mail!$A13)+LEN(T$2))-FIND(T$2,Mail!$A13)-LEN(T$2)),LEN(Mail!$A13)-60-FIND(T$2,Mail!$A13)-LEN(T$2),FIND("■",Mail!$A13,FIND(T$2,Mail!$A13)+LEN(T$2))-FIND(T$2,Mail!$A13)-LEN(T$2)-1)))))</f>
        <v/>
      </c>
      <c r="U15" s="8" t="str">
        <f>TRIM(CLEAN(IF(ISERROR(FIND(U$2,Mail!$A13)),"",MID(Mail!$A13,FIND(U$2,Mail!$A13)+LEN(U$2)+1,IF(ISERROR(FIND("■",Mail!$A13,FIND(U$2,Mail!$A13)+LEN(U$2))-FIND(U$2,Mail!$A13)-LEN(U$2)),LEN(Mail!$A13)-60-FIND(U$2,Mail!$A13)-LEN(U$2),FIND("■",Mail!$A13,FIND(U$2,Mail!$A13)+LEN(U$2))-FIND(U$2,Mail!$A13)-LEN(U$2)-1)))))</f>
        <v/>
      </c>
      <c r="V15" s="8" t="str">
        <f>TRIM(CLEAN(IF(ISERROR(FIND(V$2,Mail!$A13)),"",MID(Mail!$A13,FIND(V$2,Mail!$A13)+LEN(V$2)+1,IF(ISERROR(FIND("■",Mail!$A13,FIND(V$2,Mail!$A13)+LEN(V$2))-FIND(V$2,Mail!$A13)-LEN(V$2)),LEN(Mail!$A13)-60-FIND(V$2,Mail!$A13)-LEN(V$2),FIND("■",Mail!$A13,FIND(V$2,Mail!$A13)+LEN(V$2))-FIND(V$2,Mail!$A13)-LEN(V$2)-1)))))</f>
        <v/>
      </c>
      <c r="W15" s="8" t="str">
        <f>TRIM(CLEAN(IF(ISERROR(FIND(W$2,Mail!$A13)),"",MID(Mail!$A13,FIND(W$2,Mail!$A13)+LEN(W$2)+1,IF(ISERROR(FIND("■",Mail!$A13,FIND(W$2,Mail!$A13)+LEN(W$2))-FIND(W$2,Mail!$A13)-LEN(W$2)),LEN(Mail!$A13)-60-FIND(W$2,Mail!$A13)-LEN(W$2),FIND("■",Mail!$A13,FIND(W$2,Mail!$A13)+LEN(W$2))-FIND(W$2,Mail!$A13)-LEN(W$2)-1)))))</f>
        <v/>
      </c>
      <c r="X15" s="8" t="str">
        <f>TRIM(IF(ISERROR(FIND(X$2,Mail!$A13)),"",MID(Mail!$A13,FIND(X$2,Mail!$A13)+LEN(X$2)+1,IF(ISERROR(FIND("■",Mail!$A13,FIND(X$2,Mail!$A13)+LEN(X$2))-FIND(X$2,Mail!$A13)-LEN(X$2)),LEN(Mail!$A13)-60-FIND(X$2,Mail!$A13)-LEN(X$2),FIND("■",Mail!$A13,FIND(X$2,Mail!$A13)+LEN(X$2))-FIND(X$2,Mail!$A13)-LEN(X$2)-1))))</f>
        <v/>
      </c>
      <c r="Y15" s="8" t="str">
        <f>TRIM(CLEAN(IF(ISERROR(FIND(Y$2,Mail!$A13)),"",MID(Mail!$A13,FIND(Y$2,Mail!$A13)+LEN(Y$2)+1,IF(ISERROR(FIND("■",Mail!$A13,FIND(Y$2,Mail!$A13)+LEN(Y$2))-FIND(Y$2,Mail!$A13)-LEN(Y$2)),LEN(Mail!$A13)-60-FIND(Y$2,Mail!$A13)-LEN(Y$2),FIND("■",Mail!$A13,FIND(Y$2,Mail!$A13)+LEN(Y$2))-FIND(Y$2,Mail!$A13)-LEN(Y$2)-1)))))</f>
        <v/>
      </c>
      <c r="Z15" s="8" t="str">
        <f>TRIM(CLEAN(IF(ISERROR(FIND(Z$2,Mail!$A13)),"",MID(Mail!$A13,FIND(Z$2,Mail!$A13)+LEN(Z$2)+1,IF(ISERROR(FIND("■",Mail!$A13,FIND(Z$2,Mail!$A13)+LEN(Z$2))-FIND(Z$2,Mail!$A13)-LEN(Z$2)),LEN(Mail!$A13)-60-FIND(Z$2,Mail!$A13)-LEN(Z$2),FIND("■",Mail!$A13,FIND(Z$2,Mail!$A13)+LEN(Z$2))-FIND(Z$2,Mail!$A13)-LEN(Z$2)-1)))))</f>
        <v/>
      </c>
      <c r="AA15" s="8" t="str">
        <f>TRIM(CLEAN(IF(ISERROR(FIND(AA$2,Mail!$A13)),"",MID(Mail!$A13,FIND(AA$2,Mail!$A13)+LEN(AA$2)+1,IF(ISERROR(FIND("■",Mail!$A13,FIND(AA$2,Mail!$A13)+LEN(AA$2))-FIND(AA$2,Mail!$A13)-LEN(AA$2)),LEN(Mail!$A13)-60-FIND(AA$2,Mail!$A13)-LEN(AA$2),FIND("■",Mail!$A13,FIND(AA$2,Mail!$A13)+LEN(AA$2))-FIND(AA$2,Mail!$A13)-LEN(AA$2)-1)))))</f>
        <v/>
      </c>
      <c r="AB15" s="8" t="str">
        <f>TRIM(CLEAN(IF(ISERROR(FIND(AB$2,Mail!$A13)),"",MID(Mail!$A13,FIND(AB$2,Mail!$A13)+LEN(AB$2)+1,IF(ISERROR(FIND("■",Mail!$A13,FIND(AB$2,Mail!$A13)+LEN(AB$2))-FIND(AB$2,Mail!$A13)-LEN(AB$2)),LEN(Mail!$A13)-60-FIND(AB$2,Mail!$A13)-LEN(AB$2),FIND("■",Mail!$A13,FIND(AB$2,Mail!$A13)+LEN(AB$2))-FIND(AB$2,Mail!$A13)-LEN(AB$2)-1)))))</f>
        <v/>
      </c>
      <c r="AC15" s="8" t="str">
        <f>TRIM(CLEAN(IF(ISERROR(FIND(AC$2,Mail!$A13)),"",MID(Mail!$A13,FIND(AC$2,Mail!$A13)+LEN(AC$2)+1,IF(ISERROR(FIND("■",Mail!$A13,FIND(AC$2,Mail!$A13)+LEN(AC$2))-FIND(AC$2,Mail!$A13)-LEN(AC$2)),LEN(Mail!$A13)-60-FIND(AC$2,Mail!$A13)-LEN(AC$2),FIND("■",Mail!$A13,FIND(AC$2,Mail!$A13)+LEN(AC$2))-FIND(AC$2,Mail!$A13)-LEN(AC$2)-1)))))</f>
        <v/>
      </c>
      <c r="AD15" s="8" t="str">
        <f>TRIM(CLEAN(IF(ISERROR(FIND(AD$2,Mail!$A13)),"",MID(Mail!$A13,FIND(AD$2,Mail!$A13)+LEN(AD$2)+1,IF(ISERROR(FIND("■",Mail!$A13,FIND(AD$2,Mail!$A13)+LEN(AD$2))-FIND(AD$2,Mail!$A13)-LEN(AD$2)),LEN(Mail!$A13)-60-FIND(AD$2,Mail!$A13)-LEN(AD$2),FIND("■",Mail!$A13,FIND(AD$2,Mail!$A13)+LEN(AD$2))-FIND(AD$2,Mail!$A13)-LEN(AD$2)-1)))))</f>
        <v/>
      </c>
      <c r="AE15" s="8" t="str">
        <f>TRIM(CLEAN(IF(ISERROR(FIND(AE$2,Mail!$A13)),"",MID(Mail!$A13,FIND(AE$2,Mail!$A13)+LEN(AE$2)+1,IF(ISERROR(FIND("■",Mail!$A13,FIND(AE$2,Mail!$A13)+LEN(AE$2))-FIND(AE$2,Mail!$A13)-LEN(AE$2)),LEN(Mail!$A13)-60-FIND(AE$2,Mail!$A13)-LEN(AE$2),FIND("■",Mail!$A13,FIND(AE$2,Mail!$A13)+LEN(AE$2))-FIND(AE$2,Mail!$A13)-LEN(AE$2)-1)))))</f>
        <v/>
      </c>
      <c r="AF15" s="8" t="str">
        <f>TRIM(CLEAN(IF(ISERROR(FIND(AF$2,Mail!$A13)),"",MID(Mail!$A13,FIND(AF$2,Mail!$A13)+LEN(AF$2)+1,IF(ISERROR(FIND("■",Mail!$A13,FIND(AF$2,Mail!$A13)+LEN(AF$2))-FIND(AF$2,Mail!$A13)-LEN(AF$2)),LEN(Mail!$A13)-60-FIND(AF$2,Mail!$A13)-LEN(AF$2),FIND("■",Mail!$A13,FIND(AF$2,Mail!$A13)+LEN(AF$2))-FIND(AF$2,Mail!$A13)-LEN(AF$2)-1)))))</f>
        <v/>
      </c>
      <c r="AG15" s="8" t="str">
        <f>TRIM(IF(ISERROR(FIND(AG$2,Mail!$A13)),"",MID(Mail!$A13,FIND(AG$2,Mail!$A13)+LEN(AG$2)+1,IF(ISERROR(FIND("■",Mail!$A13,FIND(AG$2,Mail!$A13)+LEN(AG$2))-FIND(AG$2,Mail!$A13)-LEN(AG$2)),LEN(Mail!$A13)-60-FIND(AG$2,Mail!$A13)-LEN(AG$2),FIND("■",Mail!$A13,FIND(AG$2,Mail!$A13)+LEN(AG$2))-FIND(AG$2,Mail!$A13)-LEN(AG$2)-1))))</f>
        <v/>
      </c>
      <c r="AH15" s="8" t="str">
        <f>TRIM(IF(ISERROR(FIND(AH$2,Mail!$A13)),"",MID(Mail!$A13,FIND(AH$2,Mail!$A13)+LEN(AH$2)+1,IF(ISERROR(FIND("■",Mail!$A13,FIND(AH$2,Mail!$A13)+LEN(AH$2))-FIND(AH$2,Mail!$A13)-LEN(AH$2)),LEN(Mail!$A13)-60-FIND(AH$2,Mail!$A13)-LEN(AH$2),FIND("■",Mail!$A13,FIND(AH$2,Mail!$A13)+LEN(AH$2))-FIND(AH$2,Mail!$A13)-LEN(AH$2)-1))))</f>
        <v/>
      </c>
      <c r="AI15" s="8" t="str">
        <f>TRIM(IF(ISERROR(FIND(AI$2,Mail!$A13)),"",MID(Mail!$A13,FIND(AI$2,Mail!$A13)+LEN(AI$2)+1,IF(ISERROR(FIND("■",Mail!$A13,FIND(AI$2,Mail!$A13)+LEN(AI$2))-FIND(AI$2,Mail!$A13)-LEN(AI$2)),LEN(Mail!$A13)-60-FIND(AI$2,Mail!$A13)-LEN(AI$2),FIND("■",Mail!$A13,FIND(AI$2,Mail!$A13)+LEN(AI$2))-FIND(AI$2,Mail!$A13)-LEN(AI$2)-1))))</f>
        <v/>
      </c>
    </row>
    <row r="16" spans="1:35" s="8" customFormat="1" x14ac:dyDescent="0.15">
      <c r="A16" s="9" t="str">
        <f t="shared" si="1"/>
        <v/>
      </c>
      <c r="B16" s="8" t="str">
        <f>CLEAN(SUBSTITUTE(IF(ISERROR(FIND("yokohama",Mail!$A14)),"",MID(Mail!$A14,FIND("yokohama",Mail!$A14)+LEN("yokohama")+1,FIND("件目",Mail!$A14,FIND("yokohama",Mail!$A14))-(FIND("yokohama",Mail!$A14)+LEN("yokohama")+1)))," ",""))</f>
        <v/>
      </c>
      <c r="C16" s="9" t="str">
        <f t="shared" si="0"/>
        <v/>
      </c>
      <c r="D16" s="9" t="str">
        <f t="shared" si="2"/>
        <v/>
      </c>
      <c r="E16" s="8" t="str">
        <f t="shared" si="3"/>
        <v/>
      </c>
      <c r="F16" s="8" t="str">
        <f>TRIM(CLEAN(IF(ISERROR(FIND(F$2,Mail!$A14)),"",MID(Mail!$A14,FIND(F$2,Mail!$A14)+LEN(F$2)+1,IF(ISERROR(FIND("■",Mail!$A14,FIND(F$2,Mail!$A14)+LEN(F$2))-FIND(F$2,Mail!$A14)-LEN(F$2)),LEN(Mail!$A14)-60-FIND(F$2,Mail!$A14)-LEN(F$2),FIND("■",Mail!$A14,FIND(F$2,Mail!$A14)+LEN(F$2))-FIND(F$2,Mail!$A14)-LEN(F$2)-1)))))</f>
        <v/>
      </c>
      <c r="G16" s="8" t="str">
        <f>TRIM(CLEAN(IF(ISERROR(FIND(G$2,Mail!$A14)),"",MID(Mail!$A14,FIND(G$2,Mail!$A14)+LEN(G$2)+1,IF(ISERROR(FIND("■",Mail!$A14,FIND(G$2,Mail!$A14)+LEN(G$2))-FIND(G$2,Mail!$A14)-LEN(G$2)),LEN(Mail!$A14)-60-FIND(G$2,Mail!$A14)-LEN(G$2),FIND("■",Mail!$A14,FIND(G$2,Mail!$A14)+LEN(G$2))-FIND(G$2,Mail!$A14)-LEN(G$2)-1)))))</f>
        <v/>
      </c>
      <c r="H16" s="8" t="str">
        <f>TRIM(CLEAN(IF(ISERROR(FIND(H$2,Mail!$A14)),"",MID(Mail!$A14,FIND(H$2,Mail!$A14)+LEN(H$2)+1,IF(ISERROR(FIND("■",Mail!$A14,FIND(H$2,Mail!$A14)+LEN(H$2))-FIND(H$2,Mail!$A14)-LEN(H$2)),LEN(Mail!$A14)-60-FIND(H$2,Mail!$A14)-LEN(H$2),FIND("■",Mail!$A14,FIND(H$2,Mail!$A14)+LEN(H$2))-FIND(H$2,Mail!$A14)-LEN(H$2)-1)))))</f>
        <v/>
      </c>
      <c r="I16" s="8" t="str">
        <f>TRIM(CLEAN(IF(ISERROR(FIND(I$2,Mail!$A14)),"",MID(Mail!$A14,FIND(I$2,Mail!$A14)+LEN(I$2)+1,IF(ISERROR(FIND("■",Mail!$A14,FIND(I$2,Mail!$A14)+LEN(I$2))-FIND(I$2,Mail!$A14)-LEN(I$2)),LEN(Mail!$A14)-60-FIND(I$2,Mail!$A14)-LEN(I$2),FIND("■",Mail!$A14,FIND(I$2,Mail!$A14)+LEN(I$2))-FIND(I$2,Mail!$A14)-LEN(I$2)-1)))))</f>
        <v/>
      </c>
      <c r="J16" s="8" t="str">
        <f>TRIM(IF(ISERROR(FIND(J$2,Mail!$A14)),"",MID(Mail!$A14,FIND(J$2,Mail!$A14)+LEN(J$2)+1,IF(ISERROR(FIND("■",Mail!$A14,FIND(J$2,Mail!$A14)+LEN(J$2))-FIND(J$2,Mail!$A14)-LEN(J$2)),LEN(Mail!$A14)-60-FIND(J$2,Mail!$A14)-LEN(J$2),FIND("■",Mail!$A14,FIND(J$2,Mail!$A14)+LEN(J$2))-FIND(J$2,Mail!$A14)-LEN(J$2)-1))))</f>
        <v/>
      </c>
      <c r="K16" s="8" t="str">
        <f>TRIM(IF(ISERROR(FIND(K$2,Mail!$A14)),"",MID(Mail!$A14,FIND(K$2,Mail!$A14)+LEN(K$2)+1,IF(ISERROR(FIND("■",Mail!$A14,FIND(K$2,Mail!$A14)+LEN(K$2))-FIND(K$2,Mail!$A14)-LEN(K$2)),LEN(Mail!$A14)-60-FIND(K$2,Mail!$A14)-LEN(K$2),FIND("■",Mail!$A14,FIND(K$2,Mail!$A14)+LEN(K$2))-FIND(K$2,Mail!$A14)-LEN(K$2)-1))))</f>
        <v/>
      </c>
      <c r="L16" s="8" t="str">
        <f>TRIM(IF(ISERROR(FIND(L$2,Mail!$A14)),"",MID(Mail!$A14,FIND(L$2,Mail!$A14)+LEN(L$2)+1,IF(ISERROR(FIND("■",Mail!$A14,FIND(L$2,Mail!$A14)+LEN(L$2))-FIND(L$2,Mail!$A14)-LEN(L$2)),LEN(Mail!$A14)-60-FIND(L$2,Mail!$A14)-LEN(L$2),FIND("■",Mail!$A14,FIND(L$2,Mail!$A14)+LEN(L$2))-FIND(L$2,Mail!$A14)-LEN(L$2)-1))))</f>
        <v/>
      </c>
      <c r="M16" s="8" t="str">
        <f>TRIM(CLEAN(IF(ISERROR(FIND(M$2,Mail!$A14)),"",MID(Mail!$A14,FIND(M$2,Mail!$A14)+LEN(M$2)+1,IF(ISERROR(FIND("■",Mail!$A14,FIND(M$2,Mail!$A14)+LEN(M$2))-FIND(M$2,Mail!$A14)-LEN(M$2)),LEN(Mail!$A14)-60-FIND(M$2,Mail!$A14)-LEN(M$2),FIND("■",Mail!$A14,FIND(M$2,Mail!$A14)+LEN(M$2))-FIND(M$2,Mail!$A14)-LEN(M$2)-1)))))</f>
        <v/>
      </c>
      <c r="N16" s="8" t="str">
        <f>TRIM(CLEAN(IF(ISERROR(FIND(N$2,Mail!$A14)),"",MID(Mail!$A14,FIND(N$2,Mail!$A14)+LEN(N$2)+1,IF(ISERROR(FIND("■",Mail!$A14,FIND(N$2,Mail!$A14)+LEN(N$2))-FIND(N$2,Mail!$A14)-LEN(N$2)),LEN(Mail!$A14)-60-FIND(N$2,Mail!$A14)-LEN(N$2),FIND("■",Mail!$A14,FIND(N$2,Mail!$A14)+LEN(N$2))-FIND(N$2,Mail!$A14)-LEN(N$2)-1)))))</f>
        <v/>
      </c>
      <c r="O16" s="8" t="str">
        <f>TRIM(CLEAN(IF(ISERROR(FIND(O$2,Mail!$A14)),"",MID(Mail!$A14,FIND(O$2,Mail!$A14)+LEN(O$2)+1,IF(ISERROR(FIND("■",Mail!$A14,FIND(O$2,Mail!$A14)+LEN(O$2))-FIND(O$2,Mail!$A14)-LEN(O$2)),LEN(Mail!$A14)-60-FIND(O$2,Mail!$A14)-LEN(O$2),FIND("■",Mail!$A14,FIND(O$2,Mail!$A14)+LEN(O$2))-FIND(O$2,Mail!$A14)-LEN(O$2)-1)))))</f>
        <v/>
      </c>
      <c r="P16" s="8" t="str">
        <f>TRIM(CLEAN(IF(ISERROR(FIND(P$2,Mail!$A14)),"",MID(Mail!$A14,FIND(P$2,Mail!$A14)+LEN(P$2)+1,IF(ISERROR(FIND("■",Mail!$A14,FIND(P$2,Mail!$A14)+LEN(P$2))-FIND(P$2,Mail!$A14)-LEN(P$2)),LEN(Mail!$A14)-60-FIND(P$2,Mail!$A14)-LEN(P$2),FIND("■",Mail!$A14,FIND(P$2,Mail!$A14)+LEN(P$2))-FIND(P$2,Mail!$A14)-LEN(P$2)-1)))))</f>
        <v/>
      </c>
      <c r="Q16" s="8" t="str">
        <f>TRIM(CLEAN(IF(ISERROR(FIND(Q$2,Mail!$A14)),"",MID(Mail!$A14,FIND(Q$2,Mail!$A14)+LEN(Q$2)+1,IF(ISERROR(FIND("■",Mail!$A14,FIND(Q$2,Mail!$A14)+LEN(Q$2))-FIND(Q$2,Mail!$A14)-LEN(Q$2)),LEN(Mail!$A14)-60-FIND(Q$2,Mail!$A14)-LEN(Q$2),FIND("■",Mail!$A14,FIND(Q$2,Mail!$A14)+LEN(Q$2))-FIND(Q$2,Mail!$A14)-LEN(Q$2)-1)))))</f>
        <v/>
      </c>
      <c r="R16" s="8" t="str">
        <f>TRIM(CLEAN(IF(ISERROR(FIND(R$2,Mail!$A14)),"",MID(Mail!$A14,FIND(R$2,Mail!$A14)+LEN(R$2)+1,IF(ISERROR(FIND("■",Mail!$A14,FIND(R$2,Mail!$A14)+LEN(R$2))-FIND(R$2,Mail!$A14)-LEN(R$2)),LEN(Mail!$A14)-60-FIND(R$2,Mail!$A14)-LEN(R$2),FIND("■",Mail!$A14,FIND(R$2,Mail!$A14)+LEN(R$2))-FIND(R$2,Mail!$A14)-LEN(R$2)-1)))))</f>
        <v/>
      </c>
      <c r="S16" s="8" t="str">
        <f>TRIM(CLEAN(IF(ISERROR(FIND(S$2,Mail!$A14)),"",MID(Mail!$A14,FIND(S$2,Mail!$A14)+LEN(S$2)+1,IF(ISERROR(FIND("■",Mail!$A14,FIND(S$2,Mail!$A14)+LEN(S$2))-FIND(S$2,Mail!$A14)-LEN(S$2)),LEN(Mail!$A14)-60-FIND(S$2,Mail!$A14)-LEN(S$2),FIND("■",Mail!$A14,FIND(S$2,Mail!$A14)+LEN(S$2))-FIND(S$2,Mail!$A14)-LEN(S$2)-1)))))</f>
        <v/>
      </c>
      <c r="T16" s="8" t="str">
        <f>TRIM(CLEAN(IF(ISERROR(FIND(T$2,Mail!$A14)),"",MID(Mail!$A14,FIND(T$2,Mail!$A14)+LEN(T$2)+1,IF(ISERROR(FIND("■",Mail!$A14,FIND(T$2,Mail!$A14)+LEN(T$2))-FIND(T$2,Mail!$A14)-LEN(T$2)),LEN(Mail!$A14)-60-FIND(T$2,Mail!$A14)-LEN(T$2),FIND("■",Mail!$A14,FIND(T$2,Mail!$A14)+LEN(T$2))-FIND(T$2,Mail!$A14)-LEN(T$2)-1)))))</f>
        <v/>
      </c>
      <c r="U16" s="8" t="str">
        <f>TRIM(CLEAN(IF(ISERROR(FIND(U$2,Mail!$A14)),"",MID(Mail!$A14,FIND(U$2,Mail!$A14)+LEN(U$2)+1,IF(ISERROR(FIND("■",Mail!$A14,FIND(U$2,Mail!$A14)+LEN(U$2))-FIND(U$2,Mail!$A14)-LEN(U$2)),LEN(Mail!$A14)-60-FIND(U$2,Mail!$A14)-LEN(U$2),FIND("■",Mail!$A14,FIND(U$2,Mail!$A14)+LEN(U$2))-FIND(U$2,Mail!$A14)-LEN(U$2)-1)))))</f>
        <v/>
      </c>
      <c r="V16" s="8" t="str">
        <f>TRIM(CLEAN(IF(ISERROR(FIND(V$2,Mail!$A14)),"",MID(Mail!$A14,FIND(V$2,Mail!$A14)+LEN(V$2)+1,IF(ISERROR(FIND("■",Mail!$A14,FIND(V$2,Mail!$A14)+LEN(V$2))-FIND(V$2,Mail!$A14)-LEN(V$2)),LEN(Mail!$A14)-60-FIND(V$2,Mail!$A14)-LEN(V$2),FIND("■",Mail!$A14,FIND(V$2,Mail!$A14)+LEN(V$2))-FIND(V$2,Mail!$A14)-LEN(V$2)-1)))))</f>
        <v/>
      </c>
      <c r="W16" s="8" t="str">
        <f>TRIM(CLEAN(IF(ISERROR(FIND(W$2,Mail!$A14)),"",MID(Mail!$A14,FIND(W$2,Mail!$A14)+LEN(W$2)+1,IF(ISERROR(FIND("■",Mail!$A14,FIND(W$2,Mail!$A14)+LEN(W$2))-FIND(W$2,Mail!$A14)-LEN(W$2)),LEN(Mail!$A14)-60-FIND(W$2,Mail!$A14)-LEN(W$2),FIND("■",Mail!$A14,FIND(W$2,Mail!$A14)+LEN(W$2))-FIND(W$2,Mail!$A14)-LEN(W$2)-1)))))</f>
        <v/>
      </c>
      <c r="X16" s="8" t="str">
        <f>TRIM(IF(ISERROR(FIND(X$2,Mail!$A14)),"",MID(Mail!$A14,FIND(X$2,Mail!$A14)+LEN(X$2)+1,IF(ISERROR(FIND("■",Mail!$A14,FIND(X$2,Mail!$A14)+LEN(X$2))-FIND(X$2,Mail!$A14)-LEN(X$2)),LEN(Mail!$A14)-60-FIND(X$2,Mail!$A14)-LEN(X$2),FIND("■",Mail!$A14,FIND(X$2,Mail!$A14)+LEN(X$2))-FIND(X$2,Mail!$A14)-LEN(X$2)-1))))</f>
        <v/>
      </c>
      <c r="Y16" s="8" t="str">
        <f>TRIM(CLEAN(IF(ISERROR(FIND(Y$2,Mail!$A14)),"",MID(Mail!$A14,FIND(Y$2,Mail!$A14)+LEN(Y$2)+1,IF(ISERROR(FIND("■",Mail!$A14,FIND(Y$2,Mail!$A14)+LEN(Y$2))-FIND(Y$2,Mail!$A14)-LEN(Y$2)),LEN(Mail!$A14)-60-FIND(Y$2,Mail!$A14)-LEN(Y$2),FIND("■",Mail!$A14,FIND(Y$2,Mail!$A14)+LEN(Y$2))-FIND(Y$2,Mail!$A14)-LEN(Y$2)-1)))))</f>
        <v/>
      </c>
      <c r="Z16" s="8" t="str">
        <f>TRIM(CLEAN(IF(ISERROR(FIND(Z$2,Mail!$A14)),"",MID(Mail!$A14,FIND(Z$2,Mail!$A14)+LEN(Z$2)+1,IF(ISERROR(FIND("■",Mail!$A14,FIND(Z$2,Mail!$A14)+LEN(Z$2))-FIND(Z$2,Mail!$A14)-LEN(Z$2)),LEN(Mail!$A14)-60-FIND(Z$2,Mail!$A14)-LEN(Z$2),FIND("■",Mail!$A14,FIND(Z$2,Mail!$A14)+LEN(Z$2))-FIND(Z$2,Mail!$A14)-LEN(Z$2)-1)))))</f>
        <v/>
      </c>
      <c r="AA16" s="8" t="str">
        <f>TRIM(CLEAN(IF(ISERROR(FIND(AA$2,Mail!$A14)),"",MID(Mail!$A14,FIND(AA$2,Mail!$A14)+LEN(AA$2)+1,IF(ISERROR(FIND("■",Mail!$A14,FIND(AA$2,Mail!$A14)+LEN(AA$2))-FIND(AA$2,Mail!$A14)-LEN(AA$2)),LEN(Mail!$A14)-60-FIND(AA$2,Mail!$A14)-LEN(AA$2),FIND("■",Mail!$A14,FIND(AA$2,Mail!$A14)+LEN(AA$2))-FIND(AA$2,Mail!$A14)-LEN(AA$2)-1)))))</f>
        <v/>
      </c>
      <c r="AB16" s="8" t="str">
        <f>TRIM(CLEAN(IF(ISERROR(FIND(AB$2,Mail!$A14)),"",MID(Mail!$A14,FIND(AB$2,Mail!$A14)+LEN(AB$2)+1,IF(ISERROR(FIND("■",Mail!$A14,FIND(AB$2,Mail!$A14)+LEN(AB$2))-FIND(AB$2,Mail!$A14)-LEN(AB$2)),LEN(Mail!$A14)-60-FIND(AB$2,Mail!$A14)-LEN(AB$2),FIND("■",Mail!$A14,FIND(AB$2,Mail!$A14)+LEN(AB$2))-FIND(AB$2,Mail!$A14)-LEN(AB$2)-1)))))</f>
        <v/>
      </c>
      <c r="AC16" s="8" t="str">
        <f>TRIM(CLEAN(IF(ISERROR(FIND(AC$2,Mail!$A14)),"",MID(Mail!$A14,FIND(AC$2,Mail!$A14)+LEN(AC$2)+1,IF(ISERROR(FIND("■",Mail!$A14,FIND(AC$2,Mail!$A14)+LEN(AC$2))-FIND(AC$2,Mail!$A14)-LEN(AC$2)),LEN(Mail!$A14)-60-FIND(AC$2,Mail!$A14)-LEN(AC$2),FIND("■",Mail!$A14,FIND(AC$2,Mail!$A14)+LEN(AC$2))-FIND(AC$2,Mail!$A14)-LEN(AC$2)-1)))))</f>
        <v/>
      </c>
      <c r="AD16" s="8" t="str">
        <f>TRIM(CLEAN(IF(ISERROR(FIND(AD$2,Mail!$A14)),"",MID(Mail!$A14,FIND(AD$2,Mail!$A14)+LEN(AD$2)+1,IF(ISERROR(FIND("■",Mail!$A14,FIND(AD$2,Mail!$A14)+LEN(AD$2))-FIND(AD$2,Mail!$A14)-LEN(AD$2)),LEN(Mail!$A14)-60-FIND(AD$2,Mail!$A14)-LEN(AD$2),FIND("■",Mail!$A14,FIND(AD$2,Mail!$A14)+LEN(AD$2))-FIND(AD$2,Mail!$A14)-LEN(AD$2)-1)))))</f>
        <v/>
      </c>
      <c r="AE16" s="8" t="str">
        <f>TRIM(CLEAN(IF(ISERROR(FIND(AE$2,Mail!$A14)),"",MID(Mail!$A14,FIND(AE$2,Mail!$A14)+LEN(AE$2)+1,IF(ISERROR(FIND("■",Mail!$A14,FIND(AE$2,Mail!$A14)+LEN(AE$2))-FIND(AE$2,Mail!$A14)-LEN(AE$2)),LEN(Mail!$A14)-60-FIND(AE$2,Mail!$A14)-LEN(AE$2),FIND("■",Mail!$A14,FIND(AE$2,Mail!$A14)+LEN(AE$2))-FIND(AE$2,Mail!$A14)-LEN(AE$2)-1)))))</f>
        <v/>
      </c>
      <c r="AF16" s="8" t="str">
        <f>TRIM(CLEAN(IF(ISERROR(FIND(AF$2,Mail!$A14)),"",MID(Mail!$A14,FIND(AF$2,Mail!$A14)+LEN(AF$2)+1,IF(ISERROR(FIND("■",Mail!$A14,FIND(AF$2,Mail!$A14)+LEN(AF$2))-FIND(AF$2,Mail!$A14)-LEN(AF$2)),LEN(Mail!$A14)-60-FIND(AF$2,Mail!$A14)-LEN(AF$2),FIND("■",Mail!$A14,FIND(AF$2,Mail!$A14)+LEN(AF$2))-FIND(AF$2,Mail!$A14)-LEN(AF$2)-1)))))</f>
        <v/>
      </c>
      <c r="AG16" s="8" t="str">
        <f>TRIM(IF(ISERROR(FIND(AG$2,Mail!$A14)),"",MID(Mail!$A14,FIND(AG$2,Mail!$A14)+LEN(AG$2)+1,IF(ISERROR(FIND("■",Mail!$A14,FIND(AG$2,Mail!$A14)+LEN(AG$2))-FIND(AG$2,Mail!$A14)-LEN(AG$2)),LEN(Mail!$A14)-60-FIND(AG$2,Mail!$A14)-LEN(AG$2),FIND("■",Mail!$A14,FIND(AG$2,Mail!$A14)+LEN(AG$2))-FIND(AG$2,Mail!$A14)-LEN(AG$2)-1))))</f>
        <v/>
      </c>
      <c r="AH16" s="8" t="str">
        <f>TRIM(IF(ISERROR(FIND(AH$2,Mail!$A14)),"",MID(Mail!$A14,FIND(AH$2,Mail!$A14)+LEN(AH$2)+1,IF(ISERROR(FIND("■",Mail!$A14,FIND(AH$2,Mail!$A14)+LEN(AH$2))-FIND(AH$2,Mail!$A14)-LEN(AH$2)),LEN(Mail!$A14)-60-FIND(AH$2,Mail!$A14)-LEN(AH$2),FIND("■",Mail!$A14,FIND(AH$2,Mail!$A14)+LEN(AH$2))-FIND(AH$2,Mail!$A14)-LEN(AH$2)-1))))</f>
        <v/>
      </c>
      <c r="AI16" s="8" t="str">
        <f>TRIM(IF(ISERROR(FIND(AI$2,Mail!$A14)),"",MID(Mail!$A14,FIND(AI$2,Mail!$A14)+LEN(AI$2)+1,IF(ISERROR(FIND("■",Mail!$A14,FIND(AI$2,Mail!$A14)+LEN(AI$2))-FIND(AI$2,Mail!$A14)-LEN(AI$2)),LEN(Mail!$A14)-60-FIND(AI$2,Mail!$A14)-LEN(AI$2),FIND("■",Mail!$A14,FIND(AI$2,Mail!$A14)+LEN(AI$2))-FIND(AI$2,Mail!$A14)-LEN(AI$2)-1))))</f>
        <v/>
      </c>
    </row>
    <row r="17" spans="1:35" s="8" customFormat="1" x14ac:dyDescent="0.15">
      <c r="A17" s="9" t="str">
        <f t="shared" si="1"/>
        <v/>
      </c>
      <c r="B17" s="8" t="str">
        <f>CLEAN(SUBSTITUTE(IF(ISERROR(FIND("yokohama",Mail!$A15)),"",MID(Mail!$A15,FIND("yokohama",Mail!$A15)+LEN("yokohama")+1,FIND("件目",Mail!$A15,FIND("yokohama",Mail!$A15))-(FIND("yokohama",Mail!$A15)+LEN("yokohama")+1)))," ",""))</f>
        <v/>
      </c>
      <c r="C17" s="9" t="str">
        <f t="shared" si="0"/>
        <v/>
      </c>
      <c r="D17" s="9" t="str">
        <f t="shared" si="2"/>
        <v/>
      </c>
      <c r="E17" s="8" t="str">
        <f t="shared" si="3"/>
        <v/>
      </c>
      <c r="F17" s="8" t="str">
        <f>TRIM(CLEAN(IF(ISERROR(FIND(F$2,Mail!$A15)),"",MID(Mail!$A15,FIND(F$2,Mail!$A15)+LEN(F$2)+1,IF(ISERROR(FIND("■",Mail!$A15,FIND(F$2,Mail!$A15)+LEN(F$2))-FIND(F$2,Mail!$A15)-LEN(F$2)),LEN(Mail!$A15)-60-FIND(F$2,Mail!$A15)-LEN(F$2),FIND("■",Mail!$A15,FIND(F$2,Mail!$A15)+LEN(F$2))-FIND(F$2,Mail!$A15)-LEN(F$2)-1)))))</f>
        <v/>
      </c>
      <c r="G17" s="8" t="str">
        <f>TRIM(CLEAN(IF(ISERROR(FIND(G$2,Mail!$A15)),"",MID(Mail!$A15,FIND(G$2,Mail!$A15)+LEN(G$2)+1,IF(ISERROR(FIND("■",Mail!$A15,FIND(G$2,Mail!$A15)+LEN(G$2))-FIND(G$2,Mail!$A15)-LEN(G$2)),LEN(Mail!$A15)-60-FIND(G$2,Mail!$A15)-LEN(G$2),FIND("■",Mail!$A15,FIND(G$2,Mail!$A15)+LEN(G$2))-FIND(G$2,Mail!$A15)-LEN(G$2)-1)))))</f>
        <v/>
      </c>
      <c r="H17" s="8" t="str">
        <f>TRIM(CLEAN(IF(ISERROR(FIND(H$2,Mail!$A15)),"",MID(Mail!$A15,FIND(H$2,Mail!$A15)+LEN(H$2)+1,IF(ISERROR(FIND("■",Mail!$A15,FIND(H$2,Mail!$A15)+LEN(H$2))-FIND(H$2,Mail!$A15)-LEN(H$2)),LEN(Mail!$A15)-60-FIND(H$2,Mail!$A15)-LEN(H$2),FIND("■",Mail!$A15,FIND(H$2,Mail!$A15)+LEN(H$2))-FIND(H$2,Mail!$A15)-LEN(H$2)-1)))))</f>
        <v/>
      </c>
      <c r="I17" s="8" t="str">
        <f>TRIM(CLEAN(IF(ISERROR(FIND(I$2,Mail!$A15)),"",MID(Mail!$A15,FIND(I$2,Mail!$A15)+LEN(I$2)+1,IF(ISERROR(FIND("■",Mail!$A15,FIND(I$2,Mail!$A15)+LEN(I$2))-FIND(I$2,Mail!$A15)-LEN(I$2)),LEN(Mail!$A15)-60-FIND(I$2,Mail!$A15)-LEN(I$2),FIND("■",Mail!$A15,FIND(I$2,Mail!$A15)+LEN(I$2))-FIND(I$2,Mail!$A15)-LEN(I$2)-1)))))</f>
        <v/>
      </c>
      <c r="J17" s="8" t="str">
        <f>TRIM(IF(ISERROR(FIND(J$2,Mail!$A15)),"",MID(Mail!$A15,FIND(J$2,Mail!$A15)+LEN(J$2)+1,IF(ISERROR(FIND("■",Mail!$A15,FIND(J$2,Mail!$A15)+LEN(J$2))-FIND(J$2,Mail!$A15)-LEN(J$2)),LEN(Mail!$A15)-60-FIND(J$2,Mail!$A15)-LEN(J$2),FIND("■",Mail!$A15,FIND(J$2,Mail!$A15)+LEN(J$2))-FIND(J$2,Mail!$A15)-LEN(J$2)-1))))</f>
        <v/>
      </c>
      <c r="K17" s="8" t="str">
        <f>TRIM(IF(ISERROR(FIND(K$2,Mail!$A15)),"",MID(Mail!$A15,FIND(K$2,Mail!$A15)+LEN(K$2)+1,IF(ISERROR(FIND("■",Mail!$A15,FIND(K$2,Mail!$A15)+LEN(K$2))-FIND(K$2,Mail!$A15)-LEN(K$2)),LEN(Mail!$A15)-60-FIND(K$2,Mail!$A15)-LEN(K$2),FIND("■",Mail!$A15,FIND(K$2,Mail!$A15)+LEN(K$2))-FIND(K$2,Mail!$A15)-LEN(K$2)-1))))</f>
        <v/>
      </c>
      <c r="L17" s="8" t="str">
        <f>TRIM(IF(ISERROR(FIND(L$2,Mail!$A15)),"",MID(Mail!$A15,FIND(L$2,Mail!$A15)+LEN(L$2)+1,IF(ISERROR(FIND("■",Mail!$A15,FIND(L$2,Mail!$A15)+LEN(L$2))-FIND(L$2,Mail!$A15)-LEN(L$2)),LEN(Mail!$A15)-60-FIND(L$2,Mail!$A15)-LEN(L$2),FIND("■",Mail!$A15,FIND(L$2,Mail!$A15)+LEN(L$2))-FIND(L$2,Mail!$A15)-LEN(L$2)-1))))</f>
        <v/>
      </c>
      <c r="M17" s="8" t="str">
        <f>TRIM(CLEAN(IF(ISERROR(FIND(M$2,Mail!$A15)),"",MID(Mail!$A15,FIND(M$2,Mail!$A15)+LEN(M$2)+1,IF(ISERROR(FIND("■",Mail!$A15,FIND(M$2,Mail!$A15)+LEN(M$2))-FIND(M$2,Mail!$A15)-LEN(M$2)),LEN(Mail!$A15)-60-FIND(M$2,Mail!$A15)-LEN(M$2),FIND("■",Mail!$A15,FIND(M$2,Mail!$A15)+LEN(M$2))-FIND(M$2,Mail!$A15)-LEN(M$2)-1)))))</f>
        <v/>
      </c>
      <c r="N17" s="8" t="str">
        <f>TRIM(CLEAN(IF(ISERROR(FIND(N$2,Mail!$A15)),"",MID(Mail!$A15,FIND(N$2,Mail!$A15)+LEN(N$2)+1,IF(ISERROR(FIND("■",Mail!$A15,FIND(N$2,Mail!$A15)+LEN(N$2))-FIND(N$2,Mail!$A15)-LEN(N$2)),LEN(Mail!$A15)-60-FIND(N$2,Mail!$A15)-LEN(N$2),FIND("■",Mail!$A15,FIND(N$2,Mail!$A15)+LEN(N$2))-FIND(N$2,Mail!$A15)-LEN(N$2)-1)))))</f>
        <v/>
      </c>
      <c r="O17" s="8" t="str">
        <f>TRIM(CLEAN(IF(ISERROR(FIND(O$2,Mail!$A15)),"",MID(Mail!$A15,FIND(O$2,Mail!$A15)+LEN(O$2)+1,IF(ISERROR(FIND("■",Mail!$A15,FIND(O$2,Mail!$A15)+LEN(O$2))-FIND(O$2,Mail!$A15)-LEN(O$2)),LEN(Mail!$A15)-60-FIND(O$2,Mail!$A15)-LEN(O$2),FIND("■",Mail!$A15,FIND(O$2,Mail!$A15)+LEN(O$2))-FIND(O$2,Mail!$A15)-LEN(O$2)-1)))))</f>
        <v/>
      </c>
      <c r="P17" s="8" t="str">
        <f>TRIM(CLEAN(IF(ISERROR(FIND(P$2,Mail!$A15)),"",MID(Mail!$A15,FIND(P$2,Mail!$A15)+LEN(P$2)+1,IF(ISERROR(FIND("■",Mail!$A15,FIND(P$2,Mail!$A15)+LEN(P$2))-FIND(P$2,Mail!$A15)-LEN(P$2)),LEN(Mail!$A15)-60-FIND(P$2,Mail!$A15)-LEN(P$2),FIND("■",Mail!$A15,FIND(P$2,Mail!$A15)+LEN(P$2))-FIND(P$2,Mail!$A15)-LEN(P$2)-1)))))</f>
        <v/>
      </c>
      <c r="Q17" s="8" t="str">
        <f>TRIM(CLEAN(IF(ISERROR(FIND(Q$2,Mail!$A15)),"",MID(Mail!$A15,FIND(Q$2,Mail!$A15)+LEN(Q$2)+1,IF(ISERROR(FIND("■",Mail!$A15,FIND(Q$2,Mail!$A15)+LEN(Q$2))-FIND(Q$2,Mail!$A15)-LEN(Q$2)),LEN(Mail!$A15)-60-FIND(Q$2,Mail!$A15)-LEN(Q$2),FIND("■",Mail!$A15,FIND(Q$2,Mail!$A15)+LEN(Q$2))-FIND(Q$2,Mail!$A15)-LEN(Q$2)-1)))))</f>
        <v/>
      </c>
      <c r="R17" s="8" t="str">
        <f>TRIM(CLEAN(IF(ISERROR(FIND(R$2,Mail!$A15)),"",MID(Mail!$A15,FIND(R$2,Mail!$A15)+LEN(R$2)+1,IF(ISERROR(FIND("■",Mail!$A15,FIND(R$2,Mail!$A15)+LEN(R$2))-FIND(R$2,Mail!$A15)-LEN(R$2)),LEN(Mail!$A15)-60-FIND(R$2,Mail!$A15)-LEN(R$2),FIND("■",Mail!$A15,FIND(R$2,Mail!$A15)+LEN(R$2))-FIND(R$2,Mail!$A15)-LEN(R$2)-1)))))</f>
        <v/>
      </c>
      <c r="S17" s="8" t="str">
        <f>TRIM(CLEAN(IF(ISERROR(FIND(S$2,Mail!$A15)),"",MID(Mail!$A15,FIND(S$2,Mail!$A15)+LEN(S$2)+1,IF(ISERROR(FIND("■",Mail!$A15,FIND(S$2,Mail!$A15)+LEN(S$2))-FIND(S$2,Mail!$A15)-LEN(S$2)),LEN(Mail!$A15)-60-FIND(S$2,Mail!$A15)-LEN(S$2),FIND("■",Mail!$A15,FIND(S$2,Mail!$A15)+LEN(S$2))-FIND(S$2,Mail!$A15)-LEN(S$2)-1)))))</f>
        <v/>
      </c>
      <c r="T17" s="8" t="str">
        <f>TRIM(CLEAN(IF(ISERROR(FIND(T$2,Mail!$A15)),"",MID(Mail!$A15,FIND(T$2,Mail!$A15)+LEN(T$2)+1,IF(ISERROR(FIND("■",Mail!$A15,FIND(T$2,Mail!$A15)+LEN(T$2))-FIND(T$2,Mail!$A15)-LEN(T$2)),LEN(Mail!$A15)-60-FIND(T$2,Mail!$A15)-LEN(T$2),FIND("■",Mail!$A15,FIND(T$2,Mail!$A15)+LEN(T$2))-FIND(T$2,Mail!$A15)-LEN(T$2)-1)))))</f>
        <v/>
      </c>
      <c r="U17" s="8" t="str">
        <f>TRIM(CLEAN(IF(ISERROR(FIND(U$2,Mail!$A15)),"",MID(Mail!$A15,FIND(U$2,Mail!$A15)+LEN(U$2)+1,IF(ISERROR(FIND("■",Mail!$A15,FIND(U$2,Mail!$A15)+LEN(U$2))-FIND(U$2,Mail!$A15)-LEN(U$2)),LEN(Mail!$A15)-60-FIND(U$2,Mail!$A15)-LEN(U$2),FIND("■",Mail!$A15,FIND(U$2,Mail!$A15)+LEN(U$2))-FIND(U$2,Mail!$A15)-LEN(U$2)-1)))))</f>
        <v/>
      </c>
      <c r="V17" s="8" t="str">
        <f>TRIM(CLEAN(IF(ISERROR(FIND(V$2,Mail!$A15)),"",MID(Mail!$A15,FIND(V$2,Mail!$A15)+LEN(V$2)+1,IF(ISERROR(FIND("■",Mail!$A15,FIND(V$2,Mail!$A15)+LEN(V$2))-FIND(V$2,Mail!$A15)-LEN(V$2)),LEN(Mail!$A15)-60-FIND(V$2,Mail!$A15)-LEN(V$2),FIND("■",Mail!$A15,FIND(V$2,Mail!$A15)+LEN(V$2))-FIND(V$2,Mail!$A15)-LEN(V$2)-1)))))</f>
        <v/>
      </c>
      <c r="W17" s="8" t="str">
        <f>TRIM(CLEAN(IF(ISERROR(FIND(W$2,Mail!$A15)),"",MID(Mail!$A15,FIND(W$2,Mail!$A15)+LEN(W$2)+1,IF(ISERROR(FIND("■",Mail!$A15,FIND(W$2,Mail!$A15)+LEN(W$2))-FIND(W$2,Mail!$A15)-LEN(W$2)),LEN(Mail!$A15)-60-FIND(W$2,Mail!$A15)-LEN(W$2),FIND("■",Mail!$A15,FIND(W$2,Mail!$A15)+LEN(W$2))-FIND(W$2,Mail!$A15)-LEN(W$2)-1)))))</f>
        <v/>
      </c>
      <c r="X17" s="8" t="str">
        <f>TRIM(IF(ISERROR(FIND(X$2,Mail!$A15)),"",MID(Mail!$A15,FIND(X$2,Mail!$A15)+LEN(X$2)+1,IF(ISERROR(FIND("■",Mail!$A15,FIND(X$2,Mail!$A15)+LEN(X$2))-FIND(X$2,Mail!$A15)-LEN(X$2)),LEN(Mail!$A15)-60-FIND(X$2,Mail!$A15)-LEN(X$2),FIND("■",Mail!$A15,FIND(X$2,Mail!$A15)+LEN(X$2))-FIND(X$2,Mail!$A15)-LEN(X$2)-1))))</f>
        <v/>
      </c>
      <c r="Y17" s="8" t="str">
        <f>TRIM(CLEAN(IF(ISERROR(FIND(Y$2,Mail!$A15)),"",MID(Mail!$A15,FIND(Y$2,Mail!$A15)+LEN(Y$2)+1,IF(ISERROR(FIND("■",Mail!$A15,FIND(Y$2,Mail!$A15)+LEN(Y$2))-FIND(Y$2,Mail!$A15)-LEN(Y$2)),LEN(Mail!$A15)-60-FIND(Y$2,Mail!$A15)-LEN(Y$2),FIND("■",Mail!$A15,FIND(Y$2,Mail!$A15)+LEN(Y$2))-FIND(Y$2,Mail!$A15)-LEN(Y$2)-1)))))</f>
        <v/>
      </c>
      <c r="Z17" s="8" t="str">
        <f>TRIM(CLEAN(IF(ISERROR(FIND(Z$2,Mail!$A15)),"",MID(Mail!$A15,FIND(Z$2,Mail!$A15)+LEN(Z$2)+1,IF(ISERROR(FIND("■",Mail!$A15,FIND(Z$2,Mail!$A15)+LEN(Z$2))-FIND(Z$2,Mail!$A15)-LEN(Z$2)),LEN(Mail!$A15)-60-FIND(Z$2,Mail!$A15)-LEN(Z$2),FIND("■",Mail!$A15,FIND(Z$2,Mail!$A15)+LEN(Z$2))-FIND(Z$2,Mail!$A15)-LEN(Z$2)-1)))))</f>
        <v/>
      </c>
      <c r="AA17" s="8" t="str">
        <f>TRIM(CLEAN(IF(ISERROR(FIND(AA$2,Mail!$A15)),"",MID(Mail!$A15,FIND(AA$2,Mail!$A15)+LEN(AA$2)+1,IF(ISERROR(FIND("■",Mail!$A15,FIND(AA$2,Mail!$A15)+LEN(AA$2))-FIND(AA$2,Mail!$A15)-LEN(AA$2)),LEN(Mail!$A15)-60-FIND(AA$2,Mail!$A15)-LEN(AA$2),FIND("■",Mail!$A15,FIND(AA$2,Mail!$A15)+LEN(AA$2))-FIND(AA$2,Mail!$A15)-LEN(AA$2)-1)))))</f>
        <v/>
      </c>
      <c r="AB17" s="8" t="str">
        <f>TRIM(CLEAN(IF(ISERROR(FIND(AB$2,Mail!$A15)),"",MID(Mail!$A15,FIND(AB$2,Mail!$A15)+LEN(AB$2)+1,IF(ISERROR(FIND("■",Mail!$A15,FIND(AB$2,Mail!$A15)+LEN(AB$2))-FIND(AB$2,Mail!$A15)-LEN(AB$2)),LEN(Mail!$A15)-60-FIND(AB$2,Mail!$A15)-LEN(AB$2),FIND("■",Mail!$A15,FIND(AB$2,Mail!$A15)+LEN(AB$2))-FIND(AB$2,Mail!$A15)-LEN(AB$2)-1)))))</f>
        <v/>
      </c>
      <c r="AC17" s="8" t="str">
        <f>TRIM(CLEAN(IF(ISERROR(FIND(AC$2,Mail!$A15)),"",MID(Mail!$A15,FIND(AC$2,Mail!$A15)+LEN(AC$2)+1,IF(ISERROR(FIND("■",Mail!$A15,FIND(AC$2,Mail!$A15)+LEN(AC$2))-FIND(AC$2,Mail!$A15)-LEN(AC$2)),LEN(Mail!$A15)-60-FIND(AC$2,Mail!$A15)-LEN(AC$2),FIND("■",Mail!$A15,FIND(AC$2,Mail!$A15)+LEN(AC$2))-FIND(AC$2,Mail!$A15)-LEN(AC$2)-1)))))</f>
        <v/>
      </c>
      <c r="AD17" s="8" t="str">
        <f>TRIM(CLEAN(IF(ISERROR(FIND(AD$2,Mail!$A15)),"",MID(Mail!$A15,FIND(AD$2,Mail!$A15)+LEN(AD$2)+1,IF(ISERROR(FIND("■",Mail!$A15,FIND(AD$2,Mail!$A15)+LEN(AD$2))-FIND(AD$2,Mail!$A15)-LEN(AD$2)),LEN(Mail!$A15)-60-FIND(AD$2,Mail!$A15)-LEN(AD$2),FIND("■",Mail!$A15,FIND(AD$2,Mail!$A15)+LEN(AD$2))-FIND(AD$2,Mail!$A15)-LEN(AD$2)-1)))))</f>
        <v/>
      </c>
      <c r="AE17" s="8" t="str">
        <f>TRIM(CLEAN(IF(ISERROR(FIND(AE$2,Mail!$A15)),"",MID(Mail!$A15,FIND(AE$2,Mail!$A15)+LEN(AE$2)+1,IF(ISERROR(FIND("■",Mail!$A15,FIND(AE$2,Mail!$A15)+LEN(AE$2))-FIND(AE$2,Mail!$A15)-LEN(AE$2)),LEN(Mail!$A15)-60-FIND(AE$2,Mail!$A15)-LEN(AE$2),FIND("■",Mail!$A15,FIND(AE$2,Mail!$A15)+LEN(AE$2))-FIND(AE$2,Mail!$A15)-LEN(AE$2)-1)))))</f>
        <v/>
      </c>
      <c r="AF17" s="8" t="str">
        <f>TRIM(CLEAN(IF(ISERROR(FIND(AF$2,Mail!$A15)),"",MID(Mail!$A15,FIND(AF$2,Mail!$A15)+LEN(AF$2)+1,IF(ISERROR(FIND("■",Mail!$A15,FIND(AF$2,Mail!$A15)+LEN(AF$2))-FIND(AF$2,Mail!$A15)-LEN(AF$2)),LEN(Mail!$A15)-60-FIND(AF$2,Mail!$A15)-LEN(AF$2),FIND("■",Mail!$A15,FIND(AF$2,Mail!$A15)+LEN(AF$2))-FIND(AF$2,Mail!$A15)-LEN(AF$2)-1)))))</f>
        <v/>
      </c>
      <c r="AG17" s="8" t="str">
        <f>TRIM(IF(ISERROR(FIND(AG$2,Mail!$A15)),"",MID(Mail!$A15,FIND(AG$2,Mail!$A15)+LEN(AG$2)+1,IF(ISERROR(FIND("■",Mail!$A15,FIND(AG$2,Mail!$A15)+LEN(AG$2))-FIND(AG$2,Mail!$A15)-LEN(AG$2)),LEN(Mail!$A15)-60-FIND(AG$2,Mail!$A15)-LEN(AG$2),FIND("■",Mail!$A15,FIND(AG$2,Mail!$A15)+LEN(AG$2))-FIND(AG$2,Mail!$A15)-LEN(AG$2)-1))))</f>
        <v/>
      </c>
      <c r="AH17" s="8" t="str">
        <f>TRIM(IF(ISERROR(FIND(AH$2,Mail!$A15)),"",MID(Mail!$A15,FIND(AH$2,Mail!$A15)+LEN(AH$2)+1,IF(ISERROR(FIND("■",Mail!$A15,FIND(AH$2,Mail!$A15)+LEN(AH$2))-FIND(AH$2,Mail!$A15)-LEN(AH$2)),LEN(Mail!$A15)-60-FIND(AH$2,Mail!$A15)-LEN(AH$2),FIND("■",Mail!$A15,FIND(AH$2,Mail!$A15)+LEN(AH$2))-FIND(AH$2,Mail!$A15)-LEN(AH$2)-1))))</f>
        <v/>
      </c>
      <c r="AI17" s="8" t="str">
        <f>TRIM(IF(ISERROR(FIND(AI$2,Mail!$A15)),"",MID(Mail!$A15,FIND(AI$2,Mail!$A15)+LEN(AI$2)+1,IF(ISERROR(FIND("■",Mail!$A15,FIND(AI$2,Mail!$A15)+LEN(AI$2))-FIND(AI$2,Mail!$A15)-LEN(AI$2)),LEN(Mail!$A15)-60-FIND(AI$2,Mail!$A15)-LEN(AI$2),FIND("■",Mail!$A15,FIND(AI$2,Mail!$A15)+LEN(AI$2))-FIND(AI$2,Mail!$A15)-LEN(AI$2)-1))))</f>
        <v/>
      </c>
    </row>
    <row r="18" spans="1:35" s="8" customFormat="1" x14ac:dyDescent="0.15">
      <c r="A18" s="9" t="str">
        <f t="shared" si="1"/>
        <v/>
      </c>
      <c r="B18" s="8" t="str">
        <f>CLEAN(SUBSTITUTE(IF(ISERROR(FIND("yokohama",Mail!$A16)),"",MID(Mail!$A16,FIND("yokohama",Mail!$A16)+LEN("yokohama")+1,FIND("件目",Mail!$A16,FIND("yokohama",Mail!$A16))-(FIND("yokohama",Mail!$A16)+LEN("yokohama")+1)))," ",""))</f>
        <v/>
      </c>
      <c r="C18" s="9" t="str">
        <f t="shared" si="0"/>
        <v/>
      </c>
      <c r="D18" s="9" t="str">
        <f t="shared" si="2"/>
        <v/>
      </c>
      <c r="E18" s="8" t="str">
        <f t="shared" si="3"/>
        <v/>
      </c>
      <c r="F18" s="8" t="str">
        <f>TRIM(CLEAN(IF(ISERROR(FIND(F$2,Mail!$A16)),"",MID(Mail!$A16,FIND(F$2,Mail!$A16)+LEN(F$2)+1,IF(ISERROR(FIND("■",Mail!$A16,FIND(F$2,Mail!$A16)+LEN(F$2))-FIND(F$2,Mail!$A16)-LEN(F$2)),LEN(Mail!$A16)-60-FIND(F$2,Mail!$A16)-LEN(F$2),FIND("■",Mail!$A16,FIND(F$2,Mail!$A16)+LEN(F$2))-FIND(F$2,Mail!$A16)-LEN(F$2)-1)))))</f>
        <v/>
      </c>
      <c r="G18" s="8" t="str">
        <f>TRIM(CLEAN(IF(ISERROR(FIND(G$2,Mail!$A16)),"",MID(Mail!$A16,FIND(G$2,Mail!$A16)+LEN(G$2)+1,IF(ISERROR(FIND("■",Mail!$A16,FIND(G$2,Mail!$A16)+LEN(G$2))-FIND(G$2,Mail!$A16)-LEN(G$2)),LEN(Mail!$A16)-60-FIND(G$2,Mail!$A16)-LEN(G$2),FIND("■",Mail!$A16,FIND(G$2,Mail!$A16)+LEN(G$2))-FIND(G$2,Mail!$A16)-LEN(G$2)-1)))))</f>
        <v/>
      </c>
      <c r="H18" s="8" t="str">
        <f>TRIM(CLEAN(IF(ISERROR(FIND(H$2,Mail!$A16)),"",MID(Mail!$A16,FIND(H$2,Mail!$A16)+LEN(H$2)+1,IF(ISERROR(FIND("■",Mail!$A16,FIND(H$2,Mail!$A16)+LEN(H$2))-FIND(H$2,Mail!$A16)-LEN(H$2)),LEN(Mail!$A16)-60-FIND(H$2,Mail!$A16)-LEN(H$2),FIND("■",Mail!$A16,FIND(H$2,Mail!$A16)+LEN(H$2))-FIND(H$2,Mail!$A16)-LEN(H$2)-1)))))</f>
        <v/>
      </c>
      <c r="I18" s="8" t="str">
        <f>TRIM(CLEAN(IF(ISERROR(FIND(I$2,Mail!$A16)),"",MID(Mail!$A16,FIND(I$2,Mail!$A16)+LEN(I$2)+1,IF(ISERROR(FIND("■",Mail!$A16,FIND(I$2,Mail!$A16)+LEN(I$2))-FIND(I$2,Mail!$A16)-LEN(I$2)),LEN(Mail!$A16)-60-FIND(I$2,Mail!$A16)-LEN(I$2),FIND("■",Mail!$A16,FIND(I$2,Mail!$A16)+LEN(I$2))-FIND(I$2,Mail!$A16)-LEN(I$2)-1)))))</f>
        <v/>
      </c>
      <c r="J18" s="8" t="str">
        <f>TRIM(IF(ISERROR(FIND(J$2,Mail!$A16)),"",MID(Mail!$A16,FIND(J$2,Mail!$A16)+LEN(J$2)+1,IF(ISERROR(FIND("■",Mail!$A16,FIND(J$2,Mail!$A16)+LEN(J$2))-FIND(J$2,Mail!$A16)-LEN(J$2)),LEN(Mail!$A16)-60-FIND(J$2,Mail!$A16)-LEN(J$2),FIND("■",Mail!$A16,FIND(J$2,Mail!$A16)+LEN(J$2))-FIND(J$2,Mail!$A16)-LEN(J$2)-1))))</f>
        <v/>
      </c>
      <c r="K18" s="8" t="str">
        <f>TRIM(IF(ISERROR(FIND(K$2,Mail!$A16)),"",MID(Mail!$A16,FIND(K$2,Mail!$A16)+LEN(K$2)+1,IF(ISERROR(FIND("■",Mail!$A16,FIND(K$2,Mail!$A16)+LEN(K$2))-FIND(K$2,Mail!$A16)-LEN(K$2)),LEN(Mail!$A16)-60-FIND(K$2,Mail!$A16)-LEN(K$2),FIND("■",Mail!$A16,FIND(K$2,Mail!$A16)+LEN(K$2))-FIND(K$2,Mail!$A16)-LEN(K$2)-1))))</f>
        <v/>
      </c>
      <c r="L18" s="8" t="str">
        <f>TRIM(IF(ISERROR(FIND(L$2,Mail!$A16)),"",MID(Mail!$A16,FIND(L$2,Mail!$A16)+LEN(L$2)+1,IF(ISERROR(FIND("■",Mail!$A16,FIND(L$2,Mail!$A16)+LEN(L$2))-FIND(L$2,Mail!$A16)-LEN(L$2)),LEN(Mail!$A16)-60-FIND(L$2,Mail!$A16)-LEN(L$2),FIND("■",Mail!$A16,FIND(L$2,Mail!$A16)+LEN(L$2))-FIND(L$2,Mail!$A16)-LEN(L$2)-1))))</f>
        <v/>
      </c>
      <c r="M18" s="8" t="str">
        <f>TRIM(CLEAN(IF(ISERROR(FIND(M$2,Mail!$A16)),"",MID(Mail!$A16,FIND(M$2,Mail!$A16)+LEN(M$2)+1,IF(ISERROR(FIND("■",Mail!$A16,FIND(M$2,Mail!$A16)+LEN(M$2))-FIND(M$2,Mail!$A16)-LEN(M$2)),LEN(Mail!$A16)-60-FIND(M$2,Mail!$A16)-LEN(M$2),FIND("■",Mail!$A16,FIND(M$2,Mail!$A16)+LEN(M$2))-FIND(M$2,Mail!$A16)-LEN(M$2)-1)))))</f>
        <v/>
      </c>
      <c r="N18" s="8" t="str">
        <f>TRIM(CLEAN(IF(ISERROR(FIND(N$2,Mail!$A16)),"",MID(Mail!$A16,FIND(N$2,Mail!$A16)+LEN(N$2)+1,IF(ISERROR(FIND("■",Mail!$A16,FIND(N$2,Mail!$A16)+LEN(N$2))-FIND(N$2,Mail!$A16)-LEN(N$2)),LEN(Mail!$A16)-60-FIND(N$2,Mail!$A16)-LEN(N$2),FIND("■",Mail!$A16,FIND(N$2,Mail!$A16)+LEN(N$2))-FIND(N$2,Mail!$A16)-LEN(N$2)-1)))))</f>
        <v/>
      </c>
      <c r="O18" s="8" t="str">
        <f>TRIM(CLEAN(IF(ISERROR(FIND(O$2,Mail!$A16)),"",MID(Mail!$A16,FIND(O$2,Mail!$A16)+LEN(O$2)+1,IF(ISERROR(FIND("■",Mail!$A16,FIND(O$2,Mail!$A16)+LEN(O$2))-FIND(O$2,Mail!$A16)-LEN(O$2)),LEN(Mail!$A16)-60-FIND(O$2,Mail!$A16)-LEN(O$2),FIND("■",Mail!$A16,FIND(O$2,Mail!$A16)+LEN(O$2))-FIND(O$2,Mail!$A16)-LEN(O$2)-1)))))</f>
        <v/>
      </c>
      <c r="P18" s="8" t="str">
        <f>TRIM(CLEAN(IF(ISERROR(FIND(P$2,Mail!$A16)),"",MID(Mail!$A16,FIND(P$2,Mail!$A16)+LEN(P$2)+1,IF(ISERROR(FIND("■",Mail!$A16,FIND(P$2,Mail!$A16)+LEN(P$2))-FIND(P$2,Mail!$A16)-LEN(P$2)),LEN(Mail!$A16)-60-FIND(P$2,Mail!$A16)-LEN(P$2),FIND("■",Mail!$A16,FIND(P$2,Mail!$A16)+LEN(P$2))-FIND(P$2,Mail!$A16)-LEN(P$2)-1)))))</f>
        <v/>
      </c>
      <c r="Q18" s="8" t="str">
        <f>TRIM(CLEAN(IF(ISERROR(FIND(Q$2,Mail!$A16)),"",MID(Mail!$A16,FIND(Q$2,Mail!$A16)+LEN(Q$2)+1,IF(ISERROR(FIND("■",Mail!$A16,FIND(Q$2,Mail!$A16)+LEN(Q$2))-FIND(Q$2,Mail!$A16)-LEN(Q$2)),LEN(Mail!$A16)-60-FIND(Q$2,Mail!$A16)-LEN(Q$2),FIND("■",Mail!$A16,FIND(Q$2,Mail!$A16)+LEN(Q$2))-FIND(Q$2,Mail!$A16)-LEN(Q$2)-1)))))</f>
        <v/>
      </c>
      <c r="R18" s="8" t="str">
        <f>TRIM(CLEAN(IF(ISERROR(FIND(R$2,Mail!$A16)),"",MID(Mail!$A16,FIND(R$2,Mail!$A16)+LEN(R$2)+1,IF(ISERROR(FIND("■",Mail!$A16,FIND(R$2,Mail!$A16)+LEN(R$2))-FIND(R$2,Mail!$A16)-LEN(R$2)),LEN(Mail!$A16)-60-FIND(R$2,Mail!$A16)-LEN(R$2),FIND("■",Mail!$A16,FIND(R$2,Mail!$A16)+LEN(R$2))-FIND(R$2,Mail!$A16)-LEN(R$2)-1)))))</f>
        <v/>
      </c>
      <c r="S18" s="8" t="str">
        <f>TRIM(CLEAN(IF(ISERROR(FIND(S$2,Mail!$A16)),"",MID(Mail!$A16,FIND(S$2,Mail!$A16)+LEN(S$2)+1,IF(ISERROR(FIND("■",Mail!$A16,FIND(S$2,Mail!$A16)+LEN(S$2))-FIND(S$2,Mail!$A16)-LEN(S$2)),LEN(Mail!$A16)-60-FIND(S$2,Mail!$A16)-LEN(S$2),FIND("■",Mail!$A16,FIND(S$2,Mail!$A16)+LEN(S$2))-FIND(S$2,Mail!$A16)-LEN(S$2)-1)))))</f>
        <v/>
      </c>
      <c r="T18" s="8" t="str">
        <f>TRIM(CLEAN(IF(ISERROR(FIND(T$2,Mail!$A16)),"",MID(Mail!$A16,FIND(T$2,Mail!$A16)+LEN(T$2)+1,IF(ISERROR(FIND("■",Mail!$A16,FIND(T$2,Mail!$A16)+LEN(T$2))-FIND(T$2,Mail!$A16)-LEN(T$2)),LEN(Mail!$A16)-60-FIND(T$2,Mail!$A16)-LEN(T$2),FIND("■",Mail!$A16,FIND(T$2,Mail!$A16)+LEN(T$2))-FIND(T$2,Mail!$A16)-LEN(T$2)-1)))))</f>
        <v/>
      </c>
      <c r="U18" s="8" t="str">
        <f>TRIM(CLEAN(IF(ISERROR(FIND(U$2,Mail!$A16)),"",MID(Mail!$A16,FIND(U$2,Mail!$A16)+LEN(U$2)+1,IF(ISERROR(FIND("■",Mail!$A16,FIND(U$2,Mail!$A16)+LEN(U$2))-FIND(U$2,Mail!$A16)-LEN(U$2)),LEN(Mail!$A16)-60-FIND(U$2,Mail!$A16)-LEN(U$2),FIND("■",Mail!$A16,FIND(U$2,Mail!$A16)+LEN(U$2))-FIND(U$2,Mail!$A16)-LEN(U$2)-1)))))</f>
        <v/>
      </c>
      <c r="V18" s="8" t="str">
        <f>TRIM(CLEAN(IF(ISERROR(FIND(V$2,Mail!$A16)),"",MID(Mail!$A16,FIND(V$2,Mail!$A16)+LEN(V$2)+1,IF(ISERROR(FIND("■",Mail!$A16,FIND(V$2,Mail!$A16)+LEN(V$2))-FIND(V$2,Mail!$A16)-LEN(V$2)),LEN(Mail!$A16)-60-FIND(V$2,Mail!$A16)-LEN(V$2),FIND("■",Mail!$A16,FIND(V$2,Mail!$A16)+LEN(V$2))-FIND(V$2,Mail!$A16)-LEN(V$2)-1)))))</f>
        <v/>
      </c>
      <c r="W18" s="8" t="str">
        <f>TRIM(CLEAN(IF(ISERROR(FIND(W$2,Mail!$A16)),"",MID(Mail!$A16,FIND(W$2,Mail!$A16)+LEN(W$2)+1,IF(ISERROR(FIND("■",Mail!$A16,FIND(W$2,Mail!$A16)+LEN(W$2))-FIND(W$2,Mail!$A16)-LEN(W$2)),LEN(Mail!$A16)-60-FIND(W$2,Mail!$A16)-LEN(W$2),FIND("■",Mail!$A16,FIND(W$2,Mail!$A16)+LEN(W$2))-FIND(W$2,Mail!$A16)-LEN(W$2)-1)))))</f>
        <v/>
      </c>
      <c r="X18" s="8" t="str">
        <f>TRIM(IF(ISERROR(FIND(X$2,Mail!$A16)),"",MID(Mail!$A16,FIND(X$2,Mail!$A16)+LEN(X$2)+1,IF(ISERROR(FIND("■",Mail!$A16,FIND(X$2,Mail!$A16)+LEN(X$2))-FIND(X$2,Mail!$A16)-LEN(X$2)),LEN(Mail!$A16)-60-FIND(X$2,Mail!$A16)-LEN(X$2),FIND("■",Mail!$A16,FIND(X$2,Mail!$A16)+LEN(X$2))-FIND(X$2,Mail!$A16)-LEN(X$2)-1))))</f>
        <v/>
      </c>
      <c r="Y18" s="8" t="str">
        <f>TRIM(CLEAN(IF(ISERROR(FIND(Y$2,Mail!$A16)),"",MID(Mail!$A16,FIND(Y$2,Mail!$A16)+LEN(Y$2)+1,IF(ISERROR(FIND("■",Mail!$A16,FIND(Y$2,Mail!$A16)+LEN(Y$2))-FIND(Y$2,Mail!$A16)-LEN(Y$2)),LEN(Mail!$A16)-60-FIND(Y$2,Mail!$A16)-LEN(Y$2),FIND("■",Mail!$A16,FIND(Y$2,Mail!$A16)+LEN(Y$2))-FIND(Y$2,Mail!$A16)-LEN(Y$2)-1)))))</f>
        <v/>
      </c>
      <c r="Z18" s="8" t="str">
        <f>TRIM(CLEAN(IF(ISERROR(FIND(Z$2,Mail!$A16)),"",MID(Mail!$A16,FIND(Z$2,Mail!$A16)+LEN(Z$2)+1,IF(ISERROR(FIND("■",Mail!$A16,FIND(Z$2,Mail!$A16)+LEN(Z$2))-FIND(Z$2,Mail!$A16)-LEN(Z$2)),LEN(Mail!$A16)-60-FIND(Z$2,Mail!$A16)-LEN(Z$2),FIND("■",Mail!$A16,FIND(Z$2,Mail!$A16)+LEN(Z$2))-FIND(Z$2,Mail!$A16)-LEN(Z$2)-1)))))</f>
        <v/>
      </c>
      <c r="AA18" s="8" t="str">
        <f>TRIM(CLEAN(IF(ISERROR(FIND(AA$2,Mail!$A16)),"",MID(Mail!$A16,FIND(AA$2,Mail!$A16)+LEN(AA$2)+1,IF(ISERROR(FIND("■",Mail!$A16,FIND(AA$2,Mail!$A16)+LEN(AA$2))-FIND(AA$2,Mail!$A16)-LEN(AA$2)),LEN(Mail!$A16)-60-FIND(AA$2,Mail!$A16)-LEN(AA$2),FIND("■",Mail!$A16,FIND(AA$2,Mail!$A16)+LEN(AA$2))-FIND(AA$2,Mail!$A16)-LEN(AA$2)-1)))))</f>
        <v/>
      </c>
      <c r="AB18" s="8" t="str">
        <f>TRIM(CLEAN(IF(ISERROR(FIND(AB$2,Mail!$A16)),"",MID(Mail!$A16,FIND(AB$2,Mail!$A16)+LEN(AB$2)+1,IF(ISERROR(FIND("■",Mail!$A16,FIND(AB$2,Mail!$A16)+LEN(AB$2))-FIND(AB$2,Mail!$A16)-LEN(AB$2)),LEN(Mail!$A16)-60-FIND(AB$2,Mail!$A16)-LEN(AB$2),FIND("■",Mail!$A16,FIND(AB$2,Mail!$A16)+LEN(AB$2))-FIND(AB$2,Mail!$A16)-LEN(AB$2)-1)))))</f>
        <v/>
      </c>
      <c r="AC18" s="8" t="str">
        <f>TRIM(CLEAN(IF(ISERROR(FIND(AC$2,Mail!$A16)),"",MID(Mail!$A16,FIND(AC$2,Mail!$A16)+LEN(AC$2)+1,IF(ISERROR(FIND("■",Mail!$A16,FIND(AC$2,Mail!$A16)+LEN(AC$2))-FIND(AC$2,Mail!$A16)-LEN(AC$2)),LEN(Mail!$A16)-60-FIND(AC$2,Mail!$A16)-LEN(AC$2),FIND("■",Mail!$A16,FIND(AC$2,Mail!$A16)+LEN(AC$2))-FIND(AC$2,Mail!$A16)-LEN(AC$2)-1)))))</f>
        <v/>
      </c>
      <c r="AD18" s="8" t="str">
        <f>TRIM(CLEAN(IF(ISERROR(FIND(AD$2,Mail!$A16)),"",MID(Mail!$A16,FIND(AD$2,Mail!$A16)+LEN(AD$2)+1,IF(ISERROR(FIND("■",Mail!$A16,FIND(AD$2,Mail!$A16)+LEN(AD$2))-FIND(AD$2,Mail!$A16)-LEN(AD$2)),LEN(Mail!$A16)-60-FIND(AD$2,Mail!$A16)-LEN(AD$2),FIND("■",Mail!$A16,FIND(AD$2,Mail!$A16)+LEN(AD$2))-FIND(AD$2,Mail!$A16)-LEN(AD$2)-1)))))</f>
        <v/>
      </c>
      <c r="AE18" s="8" t="str">
        <f>TRIM(CLEAN(IF(ISERROR(FIND(AE$2,Mail!$A16)),"",MID(Mail!$A16,FIND(AE$2,Mail!$A16)+LEN(AE$2)+1,IF(ISERROR(FIND("■",Mail!$A16,FIND(AE$2,Mail!$A16)+LEN(AE$2))-FIND(AE$2,Mail!$A16)-LEN(AE$2)),LEN(Mail!$A16)-60-FIND(AE$2,Mail!$A16)-LEN(AE$2),FIND("■",Mail!$A16,FIND(AE$2,Mail!$A16)+LEN(AE$2))-FIND(AE$2,Mail!$A16)-LEN(AE$2)-1)))))</f>
        <v/>
      </c>
      <c r="AF18" s="8" t="str">
        <f>TRIM(CLEAN(IF(ISERROR(FIND(AF$2,Mail!$A16)),"",MID(Mail!$A16,FIND(AF$2,Mail!$A16)+LEN(AF$2)+1,IF(ISERROR(FIND("■",Mail!$A16,FIND(AF$2,Mail!$A16)+LEN(AF$2))-FIND(AF$2,Mail!$A16)-LEN(AF$2)),LEN(Mail!$A16)-60-FIND(AF$2,Mail!$A16)-LEN(AF$2),FIND("■",Mail!$A16,FIND(AF$2,Mail!$A16)+LEN(AF$2))-FIND(AF$2,Mail!$A16)-LEN(AF$2)-1)))))</f>
        <v/>
      </c>
      <c r="AG18" s="8" t="str">
        <f>TRIM(IF(ISERROR(FIND(AG$2,Mail!$A16)),"",MID(Mail!$A16,FIND(AG$2,Mail!$A16)+LEN(AG$2)+1,IF(ISERROR(FIND("■",Mail!$A16,FIND(AG$2,Mail!$A16)+LEN(AG$2))-FIND(AG$2,Mail!$A16)-LEN(AG$2)),LEN(Mail!$A16)-60-FIND(AG$2,Mail!$A16)-LEN(AG$2),FIND("■",Mail!$A16,FIND(AG$2,Mail!$A16)+LEN(AG$2))-FIND(AG$2,Mail!$A16)-LEN(AG$2)-1))))</f>
        <v/>
      </c>
      <c r="AH18" s="8" t="str">
        <f>TRIM(IF(ISERROR(FIND(AH$2,Mail!$A16)),"",MID(Mail!$A16,FIND(AH$2,Mail!$A16)+LEN(AH$2)+1,IF(ISERROR(FIND("■",Mail!$A16,FIND(AH$2,Mail!$A16)+LEN(AH$2))-FIND(AH$2,Mail!$A16)-LEN(AH$2)),LEN(Mail!$A16)-60-FIND(AH$2,Mail!$A16)-LEN(AH$2),FIND("■",Mail!$A16,FIND(AH$2,Mail!$A16)+LEN(AH$2))-FIND(AH$2,Mail!$A16)-LEN(AH$2)-1))))</f>
        <v/>
      </c>
      <c r="AI18" s="8" t="str">
        <f>TRIM(IF(ISERROR(FIND(AI$2,Mail!$A16)),"",MID(Mail!$A16,FIND(AI$2,Mail!$A16)+LEN(AI$2)+1,IF(ISERROR(FIND("■",Mail!$A16,FIND(AI$2,Mail!$A16)+LEN(AI$2))-FIND(AI$2,Mail!$A16)-LEN(AI$2)),LEN(Mail!$A16)-60-FIND(AI$2,Mail!$A16)-LEN(AI$2),FIND("■",Mail!$A16,FIND(AI$2,Mail!$A16)+LEN(AI$2))-FIND(AI$2,Mail!$A16)-LEN(AI$2)-1))))</f>
        <v/>
      </c>
    </row>
    <row r="19" spans="1:35" s="8" customFormat="1" x14ac:dyDescent="0.15">
      <c r="A19" s="9" t="str">
        <f t="shared" si="1"/>
        <v/>
      </c>
      <c r="B19" s="8" t="str">
        <f>CLEAN(SUBSTITUTE(IF(ISERROR(FIND("yokohama",Mail!$A17)),"",MID(Mail!$A17,FIND("yokohama",Mail!$A17)+LEN("yokohama")+1,FIND("件目",Mail!$A17,FIND("yokohama",Mail!$A17))-(FIND("yokohama",Mail!$A17)+LEN("yokohama")+1)))," ",""))</f>
        <v/>
      </c>
      <c r="C19" s="9" t="str">
        <f t="shared" si="0"/>
        <v/>
      </c>
      <c r="D19" s="9" t="str">
        <f t="shared" si="2"/>
        <v/>
      </c>
      <c r="E19" s="8" t="str">
        <f t="shared" si="3"/>
        <v/>
      </c>
      <c r="F19" s="8" t="str">
        <f>TRIM(CLEAN(IF(ISERROR(FIND(F$2,Mail!$A17)),"",MID(Mail!$A17,FIND(F$2,Mail!$A17)+LEN(F$2)+1,IF(ISERROR(FIND("■",Mail!$A17,FIND(F$2,Mail!$A17)+LEN(F$2))-FIND(F$2,Mail!$A17)-LEN(F$2)),LEN(Mail!$A17)-60-FIND(F$2,Mail!$A17)-LEN(F$2),FIND("■",Mail!$A17,FIND(F$2,Mail!$A17)+LEN(F$2))-FIND(F$2,Mail!$A17)-LEN(F$2)-1)))))</f>
        <v/>
      </c>
      <c r="G19" s="8" t="str">
        <f>TRIM(CLEAN(IF(ISERROR(FIND(G$2,Mail!$A17)),"",MID(Mail!$A17,FIND(G$2,Mail!$A17)+LEN(G$2)+1,IF(ISERROR(FIND("■",Mail!$A17,FIND(G$2,Mail!$A17)+LEN(G$2))-FIND(G$2,Mail!$A17)-LEN(G$2)),LEN(Mail!$A17)-60-FIND(G$2,Mail!$A17)-LEN(G$2),FIND("■",Mail!$A17,FIND(G$2,Mail!$A17)+LEN(G$2))-FIND(G$2,Mail!$A17)-LEN(G$2)-1)))))</f>
        <v/>
      </c>
      <c r="H19" s="8" t="str">
        <f>TRIM(CLEAN(IF(ISERROR(FIND(H$2,Mail!$A17)),"",MID(Mail!$A17,FIND(H$2,Mail!$A17)+LEN(H$2)+1,IF(ISERROR(FIND("■",Mail!$A17,FIND(H$2,Mail!$A17)+LEN(H$2))-FIND(H$2,Mail!$A17)-LEN(H$2)),LEN(Mail!$A17)-60-FIND(H$2,Mail!$A17)-LEN(H$2),FIND("■",Mail!$A17,FIND(H$2,Mail!$A17)+LEN(H$2))-FIND(H$2,Mail!$A17)-LEN(H$2)-1)))))</f>
        <v/>
      </c>
      <c r="I19" s="8" t="str">
        <f>TRIM(CLEAN(IF(ISERROR(FIND(I$2,Mail!$A17)),"",MID(Mail!$A17,FIND(I$2,Mail!$A17)+LEN(I$2)+1,IF(ISERROR(FIND("■",Mail!$A17,FIND(I$2,Mail!$A17)+LEN(I$2))-FIND(I$2,Mail!$A17)-LEN(I$2)),LEN(Mail!$A17)-60-FIND(I$2,Mail!$A17)-LEN(I$2),FIND("■",Mail!$A17,FIND(I$2,Mail!$A17)+LEN(I$2))-FIND(I$2,Mail!$A17)-LEN(I$2)-1)))))</f>
        <v/>
      </c>
      <c r="J19" s="8" t="str">
        <f>TRIM(IF(ISERROR(FIND(J$2,Mail!$A17)),"",MID(Mail!$A17,FIND(J$2,Mail!$A17)+LEN(J$2)+1,IF(ISERROR(FIND("■",Mail!$A17,FIND(J$2,Mail!$A17)+LEN(J$2))-FIND(J$2,Mail!$A17)-LEN(J$2)),LEN(Mail!$A17)-60-FIND(J$2,Mail!$A17)-LEN(J$2),FIND("■",Mail!$A17,FIND(J$2,Mail!$A17)+LEN(J$2))-FIND(J$2,Mail!$A17)-LEN(J$2)-1))))</f>
        <v/>
      </c>
      <c r="K19" s="8" t="str">
        <f>TRIM(IF(ISERROR(FIND(K$2,Mail!$A17)),"",MID(Mail!$A17,FIND(K$2,Mail!$A17)+LEN(K$2)+1,IF(ISERROR(FIND("■",Mail!$A17,FIND(K$2,Mail!$A17)+LEN(K$2))-FIND(K$2,Mail!$A17)-LEN(K$2)),LEN(Mail!$A17)-60-FIND(K$2,Mail!$A17)-LEN(K$2),FIND("■",Mail!$A17,FIND(K$2,Mail!$A17)+LEN(K$2))-FIND(K$2,Mail!$A17)-LEN(K$2)-1))))</f>
        <v/>
      </c>
      <c r="L19" s="8" t="str">
        <f>TRIM(IF(ISERROR(FIND(L$2,Mail!$A17)),"",MID(Mail!$A17,FIND(L$2,Mail!$A17)+LEN(L$2)+1,IF(ISERROR(FIND("■",Mail!$A17,FIND(L$2,Mail!$A17)+LEN(L$2))-FIND(L$2,Mail!$A17)-LEN(L$2)),LEN(Mail!$A17)-60-FIND(L$2,Mail!$A17)-LEN(L$2),FIND("■",Mail!$A17,FIND(L$2,Mail!$A17)+LEN(L$2))-FIND(L$2,Mail!$A17)-LEN(L$2)-1))))</f>
        <v/>
      </c>
      <c r="M19" s="8" t="str">
        <f>TRIM(CLEAN(IF(ISERROR(FIND(M$2,Mail!$A17)),"",MID(Mail!$A17,FIND(M$2,Mail!$A17)+LEN(M$2)+1,IF(ISERROR(FIND("■",Mail!$A17,FIND(M$2,Mail!$A17)+LEN(M$2))-FIND(M$2,Mail!$A17)-LEN(M$2)),LEN(Mail!$A17)-60-FIND(M$2,Mail!$A17)-LEN(M$2),FIND("■",Mail!$A17,FIND(M$2,Mail!$A17)+LEN(M$2))-FIND(M$2,Mail!$A17)-LEN(M$2)-1)))))</f>
        <v/>
      </c>
      <c r="N19" s="8" t="str">
        <f>TRIM(CLEAN(IF(ISERROR(FIND(N$2,Mail!$A17)),"",MID(Mail!$A17,FIND(N$2,Mail!$A17)+LEN(N$2)+1,IF(ISERROR(FIND("■",Mail!$A17,FIND(N$2,Mail!$A17)+LEN(N$2))-FIND(N$2,Mail!$A17)-LEN(N$2)),LEN(Mail!$A17)-60-FIND(N$2,Mail!$A17)-LEN(N$2),FIND("■",Mail!$A17,FIND(N$2,Mail!$A17)+LEN(N$2))-FIND(N$2,Mail!$A17)-LEN(N$2)-1)))))</f>
        <v/>
      </c>
      <c r="O19" s="8" t="str">
        <f>TRIM(CLEAN(IF(ISERROR(FIND(O$2,Mail!$A17)),"",MID(Mail!$A17,FIND(O$2,Mail!$A17)+LEN(O$2)+1,IF(ISERROR(FIND("■",Mail!$A17,FIND(O$2,Mail!$A17)+LEN(O$2))-FIND(O$2,Mail!$A17)-LEN(O$2)),LEN(Mail!$A17)-60-FIND(O$2,Mail!$A17)-LEN(O$2),FIND("■",Mail!$A17,FIND(O$2,Mail!$A17)+LEN(O$2))-FIND(O$2,Mail!$A17)-LEN(O$2)-1)))))</f>
        <v/>
      </c>
      <c r="P19" s="8" t="str">
        <f>TRIM(CLEAN(IF(ISERROR(FIND(P$2,Mail!$A17)),"",MID(Mail!$A17,FIND(P$2,Mail!$A17)+LEN(P$2)+1,IF(ISERROR(FIND("■",Mail!$A17,FIND(P$2,Mail!$A17)+LEN(P$2))-FIND(P$2,Mail!$A17)-LEN(P$2)),LEN(Mail!$A17)-60-FIND(P$2,Mail!$A17)-LEN(P$2),FIND("■",Mail!$A17,FIND(P$2,Mail!$A17)+LEN(P$2))-FIND(P$2,Mail!$A17)-LEN(P$2)-1)))))</f>
        <v/>
      </c>
      <c r="Q19" s="8" t="str">
        <f>TRIM(CLEAN(IF(ISERROR(FIND(Q$2,Mail!$A17)),"",MID(Mail!$A17,FIND(Q$2,Mail!$A17)+LEN(Q$2)+1,IF(ISERROR(FIND("■",Mail!$A17,FIND(Q$2,Mail!$A17)+LEN(Q$2))-FIND(Q$2,Mail!$A17)-LEN(Q$2)),LEN(Mail!$A17)-60-FIND(Q$2,Mail!$A17)-LEN(Q$2),FIND("■",Mail!$A17,FIND(Q$2,Mail!$A17)+LEN(Q$2))-FIND(Q$2,Mail!$A17)-LEN(Q$2)-1)))))</f>
        <v/>
      </c>
      <c r="R19" s="8" t="str">
        <f>TRIM(CLEAN(IF(ISERROR(FIND(R$2,Mail!$A17)),"",MID(Mail!$A17,FIND(R$2,Mail!$A17)+LEN(R$2)+1,IF(ISERROR(FIND("■",Mail!$A17,FIND(R$2,Mail!$A17)+LEN(R$2))-FIND(R$2,Mail!$A17)-LEN(R$2)),LEN(Mail!$A17)-60-FIND(R$2,Mail!$A17)-LEN(R$2),FIND("■",Mail!$A17,FIND(R$2,Mail!$A17)+LEN(R$2))-FIND(R$2,Mail!$A17)-LEN(R$2)-1)))))</f>
        <v/>
      </c>
      <c r="S19" s="8" t="str">
        <f>TRIM(CLEAN(IF(ISERROR(FIND(S$2,Mail!$A17)),"",MID(Mail!$A17,FIND(S$2,Mail!$A17)+LEN(S$2)+1,IF(ISERROR(FIND("■",Mail!$A17,FIND(S$2,Mail!$A17)+LEN(S$2))-FIND(S$2,Mail!$A17)-LEN(S$2)),LEN(Mail!$A17)-60-FIND(S$2,Mail!$A17)-LEN(S$2),FIND("■",Mail!$A17,FIND(S$2,Mail!$A17)+LEN(S$2))-FIND(S$2,Mail!$A17)-LEN(S$2)-1)))))</f>
        <v/>
      </c>
      <c r="T19" s="8" t="str">
        <f>TRIM(CLEAN(IF(ISERROR(FIND(T$2,Mail!$A17)),"",MID(Mail!$A17,FIND(T$2,Mail!$A17)+LEN(T$2)+1,IF(ISERROR(FIND("■",Mail!$A17,FIND(T$2,Mail!$A17)+LEN(T$2))-FIND(T$2,Mail!$A17)-LEN(T$2)),LEN(Mail!$A17)-60-FIND(T$2,Mail!$A17)-LEN(T$2),FIND("■",Mail!$A17,FIND(T$2,Mail!$A17)+LEN(T$2))-FIND(T$2,Mail!$A17)-LEN(T$2)-1)))))</f>
        <v/>
      </c>
      <c r="U19" s="8" t="str">
        <f>TRIM(CLEAN(IF(ISERROR(FIND(U$2,Mail!$A17)),"",MID(Mail!$A17,FIND(U$2,Mail!$A17)+LEN(U$2)+1,IF(ISERROR(FIND("■",Mail!$A17,FIND(U$2,Mail!$A17)+LEN(U$2))-FIND(U$2,Mail!$A17)-LEN(U$2)),LEN(Mail!$A17)-60-FIND(U$2,Mail!$A17)-LEN(U$2),FIND("■",Mail!$A17,FIND(U$2,Mail!$A17)+LEN(U$2))-FIND(U$2,Mail!$A17)-LEN(U$2)-1)))))</f>
        <v/>
      </c>
      <c r="V19" s="8" t="str">
        <f>TRIM(CLEAN(IF(ISERROR(FIND(V$2,Mail!$A17)),"",MID(Mail!$A17,FIND(V$2,Mail!$A17)+LEN(V$2)+1,IF(ISERROR(FIND("■",Mail!$A17,FIND(V$2,Mail!$A17)+LEN(V$2))-FIND(V$2,Mail!$A17)-LEN(V$2)),LEN(Mail!$A17)-60-FIND(V$2,Mail!$A17)-LEN(V$2),FIND("■",Mail!$A17,FIND(V$2,Mail!$A17)+LEN(V$2))-FIND(V$2,Mail!$A17)-LEN(V$2)-1)))))</f>
        <v/>
      </c>
      <c r="W19" s="8" t="str">
        <f>TRIM(CLEAN(IF(ISERROR(FIND(W$2,Mail!$A17)),"",MID(Mail!$A17,FIND(W$2,Mail!$A17)+LEN(W$2)+1,IF(ISERROR(FIND("■",Mail!$A17,FIND(W$2,Mail!$A17)+LEN(W$2))-FIND(W$2,Mail!$A17)-LEN(W$2)),LEN(Mail!$A17)-60-FIND(W$2,Mail!$A17)-LEN(W$2),FIND("■",Mail!$A17,FIND(W$2,Mail!$A17)+LEN(W$2))-FIND(W$2,Mail!$A17)-LEN(W$2)-1)))))</f>
        <v/>
      </c>
      <c r="X19" s="8" t="str">
        <f>TRIM(IF(ISERROR(FIND(X$2,Mail!$A17)),"",MID(Mail!$A17,FIND(X$2,Mail!$A17)+LEN(X$2)+1,IF(ISERROR(FIND("■",Mail!$A17,FIND(X$2,Mail!$A17)+LEN(X$2))-FIND(X$2,Mail!$A17)-LEN(X$2)),LEN(Mail!$A17)-60-FIND(X$2,Mail!$A17)-LEN(X$2),FIND("■",Mail!$A17,FIND(X$2,Mail!$A17)+LEN(X$2))-FIND(X$2,Mail!$A17)-LEN(X$2)-1))))</f>
        <v/>
      </c>
      <c r="Y19" s="8" t="str">
        <f>TRIM(CLEAN(IF(ISERROR(FIND(Y$2,Mail!$A17)),"",MID(Mail!$A17,FIND(Y$2,Mail!$A17)+LEN(Y$2)+1,IF(ISERROR(FIND("■",Mail!$A17,FIND(Y$2,Mail!$A17)+LEN(Y$2))-FIND(Y$2,Mail!$A17)-LEN(Y$2)),LEN(Mail!$A17)-60-FIND(Y$2,Mail!$A17)-LEN(Y$2),FIND("■",Mail!$A17,FIND(Y$2,Mail!$A17)+LEN(Y$2))-FIND(Y$2,Mail!$A17)-LEN(Y$2)-1)))))</f>
        <v/>
      </c>
      <c r="Z19" s="8" t="str">
        <f>TRIM(CLEAN(IF(ISERROR(FIND(Z$2,Mail!$A17)),"",MID(Mail!$A17,FIND(Z$2,Mail!$A17)+LEN(Z$2)+1,IF(ISERROR(FIND("■",Mail!$A17,FIND(Z$2,Mail!$A17)+LEN(Z$2))-FIND(Z$2,Mail!$A17)-LEN(Z$2)),LEN(Mail!$A17)-60-FIND(Z$2,Mail!$A17)-LEN(Z$2),FIND("■",Mail!$A17,FIND(Z$2,Mail!$A17)+LEN(Z$2))-FIND(Z$2,Mail!$A17)-LEN(Z$2)-1)))))</f>
        <v/>
      </c>
      <c r="AA19" s="8" t="str">
        <f>TRIM(CLEAN(IF(ISERROR(FIND(AA$2,Mail!$A17)),"",MID(Mail!$A17,FIND(AA$2,Mail!$A17)+LEN(AA$2)+1,IF(ISERROR(FIND("■",Mail!$A17,FIND(AA$2,Mail!$A17)+LEN(AA$2))-FIND(AA$2,Mail!$A17)-LEN(AA$2)),LEN(Mail!$A17)-60-FIND(AA$2,Mail!$A17)-LEN(AA$2),FIND("■",Mail!$A17,FIND(AA$2,Mail!$A17)+LEN(AA$2))-FIND(AA$2,Mail!$A17)-LEN(AA$2)-1)))))</f>
        <v/>
      </c>
      <c r="AB19" s="8" t="str">
        <f>TRIM(CLEAN(IF(ISERROR(FIND(AB$2,Mail!$A17)),"",MID(Mail!$A17,FIND(AB$2,Mail!$A17)+LEN(AB$2)+1,IF(ISERROR(FIND("■",Mail!$A17,FIND(AB$2,Mail!$A17)+LEN(AB$2))-FIND(AB$2,Mail!$A17)-LEN(AB$2)),LEN(Mail!$A17)-60-FIND(AB$2,Mail!$A17)-LEN(AB$2),FIND("■",Mail!$A17,FIND(AB$2,Mail!$A17)+LEN(AB$2))-FIND(AB$2,Mail!$A17)-LEN(AB$2)-1)))))</f>
        <v/>
      </c>
      <c r="AC19" s="8" t="str">
        <f>TRIM(CLEAN(IF(ISERROR(FIND(AC$2,Mail!$A17)),"",MID(Mail!$A17,FIND(AC$2,Mail!$A17)+LEN(AC$2)+1,IF(ISERROR(FIND("■",Mail!$A17,FIND(AC$2,Mail!$A17)+LEN(AC$2))-FIND(AC$2,Mail!$A17)-LEN(AC$2)),LEN(Mail!$A17)-60-FIND(AC$2,Mail!$A17)-LEN(AC$2),FIND("■",Mail!$A17,FIND(AC$2,Mail!$A17)+LEN(AC$2))-FIND(AC$2,Mail!$A17)-LEN(AC$2)-1)))))</f>
        <v/>
      </c>
      <c r="AD19" s="8" t="str">
        <f>TRIM(CLEAN(IF(ISERROR(FIND(AD$2,Mail!$A17)),"",MID(Mail!$A17,FIND(AD$2,Mail!$A17)+LEN(AD$2)+1,IF(ISERROR(FIND("■",Mail!$A17,FIND(AD$2,Mail!$A17)+LEN(AD$2))-FIND(AD$2,Mail!$A17)-LEN(AD$2)),LEN(Mail!$A17)-60-FIND(AD$2,Mail!$A17)-LEN(AD$2),FIND("■",Mail!$A17,FIND(AD$2,Mail!$A17)+LEN(AD$2))-FIND(AD$2,Mail!$A17)-LEN(AD$2)-1)))))</f>
        <v/>
      </c>
      <c r="AE19" s="8" t="str">
        <f>TRIM(CLEAN(IF(ISERROR(FIND(AE$2,Mail!$A17)),"",MID(Mail!$A17,FIND(AE$2,Mail!$A17)+LEN(AE$2)+1,IF(ISERROR(FIND("■",Mail!$A17,FIND(AE$2,Mail!$A17)+LEN(AE$2))-FIND(AE$2,Mail!$A17)-LEN(AE$2)),LEN(Mail!$A17)-60-FIND(AE$2,Mail!$A17)-LEN(AE$2),FIND("■",Mail!$A17,FIND(AE$2,Mail!$A17)+LEN(AE$2))-FIND(AE$2,Mail!$A17)-LEN(AE$2)-1)))))</f>
        <v/>
      </c>
      <c r="AF19" s="8" t="str">
        <f>TRIM(CLEAN(IF(ISERROR(FIND(AF$2,Mail!$A17)),"",MID(Mail!$A17,FIND(AF$2,Mail!$A17)+LEN(AF$2)+1,IF(ISERROR(FIND("■",Mail!$A17,FIND(AF$2,Mail!$A17)+LEN(AF$2))-FIND(AF$2,Mail!$A17)-LEN(AF$2)),LEN(Mail!$A17)-60-FIND(AF$2,Mail!$A17)-LEN(AF$2),FIND("■",Mail!$A17,FIND(AF$2,Mail!$A17)+LEN(AF$2))-FIND(AF$2,Mail!$A17)-LEN(AF$2)-1)))))</f>
        <v/>
      </c>
      <c r="AG19" s="8" t="str">
        <f>TRIM(IF(ISERROR(FIND(AG$2,Mail!$A17)),"",MID(Mail!$A17,FIND(AG$2,Mail!$A17)+LEN(AG$2)+1,IF(ISERROR(FIND("■",Mail!$A17,FIND(AG$2,Mail!$A17)+LEN(AG$2))-FIND(AG$2,Mail!$A17)-LEN(AG$2)),LEN(Mail!$A17)-60-FIND(AG$2,Mail!$A17)-LEN(AG$2),FIND("■",Mail!$A17,FIND(AG$2,Mail!$A17)+LEN(AG$2))-FIND(AG$2,Mail!$A17)-LEN(AG$2)-1))))</f>
        <v/>
      </c>
      <c r="AH19" s="8" t="str">
        <f>TRIM(IF(ISERROR(FIND(AH$2,Mail!$A17)),"",MID(Mail!$A17,FIND(AH$2,Mail!$A17)+LEN(AH$2)+1,IF(ISERROR(FIND("■",Mail!$A17,FIND(AH$2,Mail!$A17)+LEN(AH$2))-FIND(AH$2,Mail!$A17)-LEN(AH$2)),LEN(Mail!$A17)-60-FIND(AH$2,Mail!$A17)-LEN(AH$2),FIND("■",Mail!$A17,FIND(AH$2,Mail!$A17)+LEN(AH$2))-FIND(AH$2,Mail!$A17)-LEN(AH$2)-1))))</f>
        <v/>
      </c>
      <c r="AI19" s="8" t="str">
        <f>TRIM(IF(ISERROR(FIND(AI$2,Mail!$A17)),"",MID(Mail!$A17,FIND(AI$2,Mail!$A17)+LEN(AI$2)+1,IF(ISERROR(FIND("■",Mail!$A17,FIND(AI$2,Mail!$A17)+LEN(AI$2))-FIND(AI$2,Mail!$A17)-LEN(AI$2)),LEN(Mail!$A17)-60-FIND(AI$2,Mail!$A17)-LEN(AI$2),FIND("■",Mail!$A17,FIND(AI$2,Mail!$A17)+LEN(AI$2))-FIND(AI$2,Mail!$A17)-LEN(AI$2)-1))))</f>
        <v/>
      </c>
    </row>
    <row r="20" spans="1:35" s="8" customFormat="1" x14ac:dyDescent="0.15">
      <c r="A20" s="9" t="str">
        <f t="shared" si="1"/>
        <v/>
      </c>
      <c r="B20" s="8" t="str">
        <f>CLEAN(SUBSTITUTE(IF(ISERROR(FIND("yokohama",Mail!$A18)),"",MID(Mail!$A18,FIND("yokohama",Mail!$A18)+LEN("yokohama")+1,FIND("件目",Mail!$A18,FIND("yokohama",Mail!$A18))-(FIND("yokohama",Mail!$A18)+LEN("yokohama")+1)))," ",""))</f>
        <v/>
      </c>
      <c r="C20" s="9" t="str">
        <f t="shared" si="0"/>
        <v/>
      </c>
      <c r="D20" s="9" t="str">
        <f t="shared" si="2"/>
        <v/>
      </c>
      <c r="E20" s="8" t="str">
        <f t="shared" si="3"/>
        <v/>
      </c>
      <c r="F20" s="8" t="str">
        <f>TRIM(CLEAN(IF(ISERROR(FIND(F$2,Mail!$A18)),"",MID(Mail!$A18,FIND(F$2,Mail!$A18)+LEN(F$2)+1,IF(ISERROR(FIND("■",Mail!$A18,FIND(F$2,Mail!$A18)+LEN(F$2))-FIND(F$2,Mail!$A18)-LEN(F$2)),LEN(Mail!$A18)-60-FIND(F$2,Mail!$A18)-LEN(F$2),FIND("■",Mail!$A18,FIND(F$2,Mail!$A18)+LEN(F$2))-FIND(F$2,Mail!$A18)-LEN(F$2)-1)))))</f>
        <v/>
      </c>
      <c r="G20" s="8" t="str">
        <f>TRIM(CLEAN(IF(ISERROR(FIND(G$2,Mail!$A18)),"",MID(Mail!$A18,FIND(G$2,Mail!$A18)+LEN(G$2)+1,IF(ISERROR(FIND("■",Mail!$A18,FIND(G$2,Mail!$A18)+LEN(G$2))-FIND(G$2,Mail!$A18)-LEN(G$2)),LEN(Mail!$A18)-60-FIND(G$2,Mail!$A18)-LEN(G$2),FIND("■",Mail!$A18,FIND(G$2,Mail!$A18)+LEN(G$2))-FIND(G$2,Mail!$A18)-LEN(G$2)-1)))))</f>
        <v/>
      </c>
      <c r="H20" s="8" t="str">
        <f>TRIM(CLEAN(IF(ISERROR(FIND(H$2,Mail!$A18)),"",MID(Mail!$A18,FIND(H$2,Mail!$A18)+LEN(H$2)+1,IF(ISERROR(FIND("■",Mail!$A18,FIND(H$2,Mail!$A18)+LEN(H$2))-FIND(H$2,Mail!$A18)-LEN(H$2)),LEN(Mail!$A18)-60-FIND(H$2,Mail!$A18)-LEN(H$2),FIND("■",Mail!$A18,FIND(H$2,Mail!$A18)+LEN(H$2))-FIND(H$2,Mail!$A18)-LEN(H$2)-1)))))</f>
        <v/>
      </c>
      <c r="I20" s="8" t="str">
        <f>TRIM(CLEAN(IF(ISERROR(FIND(I$2,Mail!$A18)),"",MID(Mail!$A18,FIND(I$2,Mail!$A18)+LEN(I$2)+1,IF(ISERROR(FIND("■",Mail!$A18,FIND(I$2,Mail!$A18)+LEN(I$2))-FIND(I$2,Mail!$A18)-LEN(I$2)),LEN(Mail!$A18)-60-FIND(I$2,Mail!$A18)-LEN(I$2),FIND("■",Mail!$A18,FIND(I$2,Mail!$A18)+LEN(I$2))-FIND(I$2,Mail!$A18)-LEN(I$2)-1)))))</f>
        <v/>
      </c>
      <c r="J20" s="8" t="str">
        <f>TRIM(IF(ISERROR(FIND(J$2,Mail!$A18)),"",MID(Mail!$A18,FIND(J$2,Mail!$A18)+LEN(J$2)+1,IF(ISERROR(FIND("■",Mail!$A18,FIND(J$2,Mail!$A18)+LEN(J$2))-FIND(J$2,Mail!$A18)-LEN(J$2)),LEN(Mail!$A18)-60-FIND(J$2,Mail!$A18)-LEN(J$2),FIND("■",Mail!$A18,FIND(J$2,Mail!$A18)+LEN(J$2))-FIND(J$2,Mail!$A18)-LEN(J$2)-1))))</f>
        <v/>
      </c>
      <c r="K20" s="8" t="str">
        <f>TRIM(IF(ISERROR(FIND(K$2,Mail!$A18)),"",MID(Mail!$A18,FIND(K$2,Mail!$A18)+LEN(K$2)+1,IF(ISERROR(FIND("■",Mail!$A18,FIND(K$2,Mail!$A18)+LEN(K$2))-FIND(K$2,Mail!$A18)-LEN(K$2)),LEN(Mail!$A18)-60-FIND(K$2,Mail!$A18)-LEN(K$2),FIND("■",Mail!$A18,FIND(K$2,Mail!$A18)+LEN(K$2))-FIND(K$2,Mail!$A18)-LEN(K$2)-1))))</f>
        <v/>
      </c>
      <c r="L20" s="8" t="str">
        <f>TRIM(IF(ISERROR(FIND(L$2,Mail!$A18)),"",MID(Mail!$A18,FIND(L$2,Mail!$A18)+LEN(L$2)+1,IF(ISERROR(FIND("■",Mail!$A18,FIND(L$2,Mail!$A18)+LEN(L$2))-FIND(L$2,Mail!$A18)-LEN(L$2)),LEN(Mail!$A18)-60-FIND(L$2,Mail!$A18)-LEN(L$2),FIND("■",Mail!$A18,FIND(L$2,Mail!$A18)+LEN(L$2))-FIND(L$2,Mail!$A18)-LEN(L$2)-1))))</f>
        <v/>
      </c>
      <c r="M20" s="8" t="str">
        <f>TRIM(CLEAN(IF(ISERROR(FIND(M$2,Mail!$A18)),"",MID(Mail!$A18,FIND(M$2,Mail!$A18)+LEN(M$2)+1,IF(ISERROR(FIND("■",Mail!$A18,FIND(M$2,Mail!$A18)+LEN(M$2))-FIND(M$2,Mail!$A18)-LEN(M$2)),LEN(Mail!$A18)-60-FIND(M$2,Mail!$A18)-LEN(M$2),FIND("■",Mail!$A18,FIND(M$2,Mail!$A18)+LEN(M$2))-FIND(M$2,Mail!$A18)-LEN(M$2)-1)))))</f>
        <v/>
      </c>
      <c r="N20" s="8" t="str">
        <f>TRIM(CLEAN(IF(ISERROR(FIND(N$2,Mail!$A18)),"",MID(Mail!$A18,FIND(N$2,Mail!$A18)+LEN(N$2)+1,IF(ISERROR(FIND("■",Mail!$A18,FIND(N$2,Mail!$A18)+LEN(N$2))-FIND(N$2,Mail!$A18)-LEN(N$2)),LEN(Mail!$A18)-60-FIND(N$2,Mail!$A18)-LEN(N$2),FIND("■",Mail!$A18,FIND(N$2,Mail!$A18)+LEN(N$2))-FIND(N$2,Mail!$A18)-LEN(N$2)-1)))))</f>
        <v/>
      </c>
      <c r="O20" s="8" t="str">
        <f>TRIM(CLEAN(IF(ISERROR(FIND(O$2,Mail!$A18)),"",MID(Mail!$A18,FIND(O$2,Mail!$A18)+LEN(O$2)+1,IF(ISERROR(FIND("■",Mail!$A18,FIND(O$2,Mail!$A18)+LEN(O$2))-FIND(O$2,Mail!$A18)-LEN(O$2)),LEN(Mail!$A18)-60-FIND(O$2,Mail!$A18)-LEN(O$2),FIND("■",Mail!$A18,FIND(O$2,Mail!$A18)+LEN(O$2))-FIND(O$2,Mail!$A18)-LEN(O$2)-1)))))</f>
        <v/>
      </c>
      <c r="P20" s="8" t="str">
        <f>TRIM(CLEAN(IF(ISERROR(FIND(P$2,Mail!$A18)),"",MID(Mail!$A18,FIND(P$2,Mail!$A18)+LEN(P$2)+1,IF(ISERROR(FIND("■",Mail!$A18,FIND(P$2,Mail!$A18)+LEN(P$2))-FIND(P$2,Mail!$A18)-LEN(P$2)),LEN(Mail!$A18)-60-FIND(P$2,Mail!$A18)-LEN(P$2),FIND("■",Mail!$A18,FIND(P$2,Mail!$A18)+LEN(P$2))-FIND(P$2,Mail!$A18)-LEN(P$2)-1)))))</f>
        <v/>
      </c>
      <c r="Q20" s="8" t="str">
        <f>TRIM(CLEAN(IF(ISERROR(FIND(Q$2,Mail!$A18)),"",MID(Mail!$A18,FIND(Q$2,Mail!$A18)+LEN(Q$2)+1,IF(ISERROR(FIND("■",Mail!$A18,FIND(Q$2,Mail!$A18)+LEN(Q$2))-FIND(Q$2,Mail!$A18)-LEN(Q$2)),LEN(Mail!$A18)-60-FIND(Q$2,Mail!$A18)-LEN(Q$2),FIND("■",Mail!$A18,FIND(Q$2,Mail!$A18)+LEN(Q$2))-FIND(Q$2,Mail!$A18)-LEN(Q$2)-1)))))</f>
        <v/>
      </c>
      <c r="R20" s="8" t="str">
        <f>TRIM(CLEAN(IF(ISERROR(FIND(R$2,Mail!$A18)),"",MID(Mail!$A18,FIND(R$2,Mail!$A18)+LEN(R$2)+1,IF(ISERROR(FIND("■",Mail!$A18,FIND(R$2,Mail!$A18)+LEN(R$2))-FIND(R$2,Mail!$A18)-LEN(R$2)),LEN(Mail!$A18)-60-FIND(R$2,Mail!$A18)-LEN(R$2),FIND("■",Mail!$A18,FIND(R$2,Mail!$A18)+LEN(R$2))-FIND(R$2,Mail!$A18)-LEN(R$2)-1)))))</f>
        <v/>
      </c>
      <c r="S20" s="8" t="str">
        <f>TRIM(CLEAN(IF(ISERROR(FIND(S$2,Mail!$A18)),"",MID(Mail!$A18,FIND(S$2,Mail!$A18)+LEN(S$2)+1,IF(ISERROR(FIND("■",Mail!$A18,FIND(S$2,Mail!$A18)+LEN(S$2))-FIND(S$2,Mail!$A18)-LEN(S$2)),LEN(Mail!$A18)-60-FIND(S$2,Mail!$A18)-LEN(S$2),FIND("■",Mail!$A18,FIND(S$2,Mail!$A18)+LEN(S$2))-FIND(S$2,Mail!$A18)-LEN(S$2)-1)))))</f>
        <v/>
      </c>
      <c r="T20" s="8" t="str">
        <f>TRIM(CLEAN(IF(ISERROR(FIND(T$2,Mail!$A18)),"",MID(Mail!$A18,FIND(T$2,Mail!$A18)+LEN(T$2)+1,IF(ISERROR(FIND("■",Mail!$A18,FIND(T$2,Mail!$A18)+LEN(T$2))-FIND(T$2,Mail!$A18)-LEN(T$2)),LEN(Mail!$A18)-60-FIND(T$2,Mail!$A18)-LEN(T$2),FIND("■",Mail!$A18,FIND(T$2,Mail!$A18)+LEN(T$2))-FIND(T$2,Mail!$A18)-LEN(T$2)-1)))))</f>
        <v/>
      </c>
      <c r="U20" s="8" t="str">
        <f>TRIM(CLEAN(IF(ISERROR(FIND(U$2,Mail!$A18)),"",MID(Mail!$A18,FIND(U$2,Mail!$A18)+LEN(U$2)+1,IF(ISERROR(FIND("■",Mail!$A18,FIND(U$2,Mail!$A18)+LEN(U$2))-FIND(U$2,Mail!$A18)-LEN(U$2)),LEN(Mail!$A18)-60-FIND(U$2,Mail!$A18)-LEN(U$2),FIND("■",Mail!$A18,FIND(U$2,Mail!$A18)+LEN(U$2))-FIND(U$2,Mail!$A18)-LEN(U$2)-1)))))</f>
        <v/>
      </c>
      <c r="V20" s="8" t="str">
        <f>TRIM(CLEAN(IF(ISERROR(FIND(V$2,Mail!$A18)),"",MID(Mail!$A18,FIND(V$2,Mail!$A18)+LEN(V$2)+1,IF(ISERROR(FIND("■",Mail!$A18,FIND(V$2,Mail!$A18)+LEN(V$2))-FIND(V$2,Mail!$A18)-LEN(V$2)),LEN(Mail!$A18)-60-FIND(V$2,Mail!$A18)-LEN(V$2),FIND("■",Mail!$A18,FIND(V$2,Mail!$A18)+LEN(V$2))-FIND(V$2,Mail!$A18)-LEN(V$2)-1)))))</f>
        <v/>
      </c>
      <c r="W20" s="8" t="str">
        <f>TRIM(CLEAN(IF(ISERROR(FIND(W$2,Mail!$A18)),"",MID(Mail!$A18,FIND(W$2,Mail!$A18)+LEN(W$2)+1,IF(ISERROR(FIND("■",Mail!$A18,FIND(W$2,Mail!$A18)+LEN(W$2))-FIND(W$2,Mail!$A18)-LEN(W$2)),LEN(Mail!$A18)-60-FIND(W$2,Mail!$A18)-LEN(W$2),FIND("■",Mail!$A18,FIND(W$2,Mail!$A18)+LEN(W$2))-FIND(W$2,Mail!$A18)-LEN(W$2)-1)))))</f>
        <v/>
      </c>
      <c r="X20" s="8" t="str">
        <f>TRIM(IF(ISERROR(FIND(X$2,Mail!$A18)),"",MID(Mail!$A18,FIND(X$2,Mail!$A18)+LEN(X$2)+1,IF(ISERROR(FIND("■",Mail!$A18,FIND(X$2,Mail!$A18)+LEN(X$2))-FIND(X$2,Mail!$A18)-LEN(X$2)),LEN(Mail!$A18)-60-FIND(X$2,Mail!$A18)-LEN(X$2),FIND("■",Mail!$A18,FIND(X$2,Mail!$A18)+LEN(X$2))-FIND(X$2,Mail!$A18)-LEN(X$2)-1))))</f>
        <v/>
      </c>
      <c r="Y20" s="8" t="str">
        <f>TRIM(CLEAN(IF(ISERROR(FIND(Y$2,Mail!$A18)),"",MID(Mail!$A18,FIND(Y$2,Mail!$A18)+LEN(Y$2)+1,IF(ISERROR(FIND("■",Mail!$A18,FIND(Y$2,Mail!$A18)+LEN(Y$2))-FIND(Y$2,Mail!$A18)-LEN(Y$2)),LEN(Mail!$A18)-60-FIND(Y$2,Mail!$A18)-LEN(Y$2),FIND("■",Mail!$A18,FIND(Y$2,Mail!$A18)+LEN(Y$2))-FIND(Y$2,Mail!$A18)-LEN(Y$2)-1)))))</f>
        <v/>
      </c>
      <c r="Z20" s="8" t="str">
        <f>TRIM(CLEAN(IF(ISERROR(FIND(Z$2,Mail!$A18)),"",MID(Mail!$A18,FIND(Z$2,Mail!$A18)+LEN(Z$2)+1,IF(ISERROR(FIND("■",Mail!$A18,FIND(Z$2,Mail!$A18)+LEN(Z$2))-FIND(Z$2,Mail!$A18)-LEN(Z$2)),LEN(Mail!$A18)-60-FIND(Z$2,Mail!$A18)-LEN(Z$2),FIND("■",Mail!$A18,FIND(Z$2,Mail!$A18)+LEN(Z$2))-FIND(Z$2,Mail!$A18)-LEN(Z$2)-1)))))</f>
        <v/>
      </c>
      <c r="AA20" s="8" t="str">
        <f>TRIM(CLEAN(IF(ISERROR(FIND(AA$2,Mail!$A18)),"",MID(Mail!$A18,FIND(AA$2,Mail!$A18)+LEN(AA$2)+1,IF(ISERROR(FIND("■",Mail!$A18,FIND(AA$2,Mail!$A18)+LEN(AA$2))-FIND(AA$2,Mail!$A18)-LEN(AA$2)),LEN(Mail!$A18)-60-FIND(AA$2,Mail!$A18)-LEN(AA$2),FIND("■",Mail!$A18,FIND(AA$2,Mail!$A18)+LEN(AA$2))-FIND(AA$2,Mail!$A18)-LEN(AA$2)-1)))))</f>
        <v/>
      </c>
      <c r="AB20" s="8" t="str">
        <f>TRIM(CLEAN(IF(ISERROR(FIND(AB$2,Mail!$A18)),"",MID(Mail!$A18,FIND(AB$2,Mail!$A18)+LEN(AB$2)+1,IF(ISERROR(FIND("■",Mail!$A18,FIND(AB$2,Mail!$A18)+LEN(AB$2))-FIND(AB$2,Mail!$A18)-LEN(AB$2)),LEN(Mail!$A18)-60-FIND(AB$2,Mail!$A18)-LEN(AB$2),FIND("■",Mail!$A18,FIND(AB$2,Mail!$A18)+LEN(AB$2))-FIND(AB$2,Mail!$A18)-LEN(AB$2)-1)))))</f>
        <v/>
      </c>
      <c r="AC20" s="8" t="str">
        <f>TRIM(CLEAN(IF(ISERROR(FIND(AC$2,Mail!$A18)),"",MID(Mail!$A18,FIND(AC$2,Mail!$A18)+LEN(AC$2)+1,IF(ISERROR(FIND("■",Mail!$A18,FIND(AC$2,Mail!$A18)+LEN(AC$2))-FIND(AC$2,Mail!$A18)-LEN(AC$2)),LEN(Mail!$A18)-60-FIND(AC$2,Mail!$A18)-LEN(AC$2),FIND("■",Mail!$A18,FIND(AC$2,Mail!$A18)+LEN(AC$2))-FIND(AC$2,Mail!$A18)-LEN(AC$2)-1)))))</f>
        <v/>
      </c>
      <c r="AD20" s="8" t="str">
        <f>TRIM(CLEAN(IF(ISERROR(FIND(AD$2,Mail!$A18)),"",MID(Mail!$A18,FIND(AD$2,Mail!$A18)+LEN(AD$2)+1,IF(ISERROR(FIND("■",Mail!$A18,FIND(AD$2,Mail!$A18)+LEN(AD$2))-FIND(AD$2,Mail!$A18)-LEN(AD$2)),LEN(Mail!$A18)-60-FIND(AD$2,Mail!$A18)-LEN(AD$2),FIND("■",Mail!$A18,FIND(AD$2,Mail!$A18)+LEN(AD$2))-FIND(AD$2,Mail!$A18)-LEN(AD$2)-1)))))</f>
        <v/>
      </c>
      <c r="AE20" s="8" t="str">
        <f>TRIM(CLEAN(IF(ISERROR(FIND(AE$2,Mail!$A18)),"",MID(Mail!$A18,FIND(AE$2,Mail!$A18)+LEN(AE$2)+1,IF(ISERROR(FIND("■",Mail!$A18,FIND(AE$2,Mail!$A18)+LEN(AE$2))-FIND(AE$2,Mail!$A18)-LEN(AE$2)),LEN(Mail!$A18)-60-FIND(AE$2,Mail!$A18)-LEN(AE$2),FIND("■",Mail!$A18,FIND(AE$2,Mail!$A18)+LEN(AE$2))-FIND(AE$2,Mail!$A18)-LEN(AE$2)-1)))))</f>
        <v/>
      </c>
      <c r="AF20" s="8" t="str">
        <f>TRIM(CLEAN(IF(ISERROR(FIND(AF$2,Mail!$A18)),"",MID(Mail!$A18,FIND(AF$2,Mail!$A18)+LEN(AF$2)+1,IF(ISERROR(FIND("■",Mail!$A18,FIND(AF$2,Mail!$A18)+LEN(AF$2))-FIND(AF$2,Mail!$A18)-LEN(AF$2)),LEN(Mail!$A18)-60-FIND(AF$2,Mail!$A18)-LEN(AF$2),FIND("■",Mail!$A18,FIND(AF$2,Mail!$A18)+LEN(AF$2))-FIND(AF$2,Mail!$A18)-LEN(AF$2)-1)))))</f>
        <v/>
      </c>
      <c r="AG20" s="8" t="str">
        <f>TRIM(IF(ISERROR(FIND(AG$2,Mail!$A18)),"",MID(Mail!$A18,FIND(AG$2,Mail!$A18)+LEN(AG$2)+1,IF(ISERROR(FIND("■",Mail!$A18,FIND(AG$2,Mail!$A18)+LEN(AG$2))-FIND(AG$2,Mail!$A18)-LEN(AG$2)),LEN(Mail!$A18)-60-FIND(AG$2,Mail!$A18)-LEN(AG$2),FIND("■",Mail!$A18,FIND(AG$2,Mail!$A18)+LEN(AG$2))-FIND(AG$2,Mail!$A18)-LEN(AG$2)-1))))</f>
        <v/>
      </c>
      <c r="AH20" s="8" t="str">
        <f>TRIM(IF(ISERROR(FIND(AH$2,Mail!$A18)),"",MID(Mail!$A18,FIND(AH$2,Mail!$A18)+LEN(AH$2)+1,IF(ISERROR(FIND("■",Mail!$A18,FIND(AH$2,Mail!$A18)+LEN(AH$2))-FIND(AH$2,Mail!$A18)-LEN(AH$2)),LEN(Mail!$A18)-60-FIND(AH$2,Mail!$A18)-LEN(AH$2),FIND("■",Mail!$A18,FIND(AH$2,Mail!$A18)+LEN(AH$2))-FIND(AH$2,Mail!$A18)-LEN(AH$2)-1))))</f>
        <v/>
      </c>
      <c r="AI20" s="8" t="str">
        <f>TRIM(IF(ISERROR(FIND(AI$2,Mail!$A18)),"",MID(Mail!$A18,FIND(AI$2,Mail!$A18)+LEN(AI$2)+1,IF(ISERROR(FIND("■",Mail!$A18,FIND(AI$2,Mail!$A18)+LEN(AI$2))-FIND(AI$2,Mail!$A18)-LEN(AI$2)),LEN(Mail!$A18)-60-FIND(AI$2,Mail!$A18)-LEN(AI$2),FIND("■",Mail!$A18,FIND(AI$2,Mail!$A18)+LEN(AI$2))-FIND(AI$2,Mail!$A18)-LEN(AI$2)-1))))</f>
        <v/>
      </c>
    </row>
    <row r="21" spans="1:35" s="8" customFormat="1" x14ac:dyDescent="0.15">
      <c r="A21" s="9" t="str">
        <f t="shared" si="1"/>
        <v/>
      </c>
      <c r="B21" s="8" t="str">
        <f>CLEAN(SUBSTITUTE(IF(ISERROR(FIND("yokohama",Mail!$A19)),"",MID(Mail!$A19,FIND("yokohama",Mail!$A19)+LEN("yokohama")+1,FIND("件目",Mail!$A19,FIND("yokohama",Mail!$A19))-(FIND("yokohama",Mail!$A19)+LEN("yokohama")+1)))," ",""))</f>
        <v/>
      </c>
      <c r="C21" s="9" t="str">
        <f t="shared" si="0"/>
        <v/>
      </c>
      <c r="D21" s="9" t="str">
        <f t="shared" si="2"/>
        <v/>
      </c>
      <c r="E21" s="8" t="str">
        <f t="shared" si="3"/>
        <v/>
      </c>
      <c r="F21" s="8" t="str">
        <f>TRIM(CLEAN(IF(ISERROR(FIND(F$2,Mail!$A19)),"",MID(Mail!$A19,FIND(F$2,Mail!$A19)+LEN(F$2)+1,IF(ISERROR(FIND("■",Mail!$A19,FIND(F$2,Mail!$A19)+LEN(F$2))-FIND(F$2,Mail!$A19)-LEN(F$2)),LEN(Mail!$A19)-60-FIND(F$2,Mail!$A19)-LEN(F$2),FIND("■",Mail!$A19,FIND(F$2,Mail!$A19)+LEN(F$2))-FIND(F$2,Mail!$A19)-LEN(F$2)-1)))))</f>
        <v/>
      </c>
      <c r="G21" s="8" t="str">
        <f>TRIM(CLEAN(IF(ISERROR(FIND(G$2,Mail!$A19)),"",MID(Mail!$A19,FIND(G$2,Mail!$A19)+LEN(G$2)+1,IF(ISERROR(FIND("■",Mail!$A19,FIND(G$2,Mail!$A19)+LEN(G$2))-FIND(G$2,Mail!$A19)-LEN(G$2)),LEN(Mail!$A19)-60-FIND(G$2,Mail!$A19)-LEN(G$2),FIND("■",Mail!$A19,FIND(G$2,Mail!$A19)+LEN(G$2))-FIND(G$2,Mail!$A19)-LEN(G$2)-1)))))</f>
        <v/>
      </c>
      <c r="H21" s="8" t="str">
        <f>TRIM(CLEAN(IF(ISERROR(FIND(H$2,Mail!$A19)),"",MID(Mail!$A19,FIND(H$2,Mail!$A19)+LEN(H$2)+1,IF(ISERROR(FIND("■",Mail!$A19,FIND(H$2,Mail!$A19)+LEN(H$2))-FIND(H$2,Mail!$A19)-LEN(H$2)),LEN(Mail!$A19)-60-FIND(H$2,Mail!$A19)-LEN(H$2),FIND("■",Mail!$A19,FIND(H$2,Mail!$A19)+LEN(H$2))-FIND(H$2,Mail!$A19)-LEN(H$2)-1)))))</f>
        <v/>
      </c>
      <c r="I21" s="8" t="str">
        <f>TRIM(CLEAN(IF(ISERROR(FIND(I$2,Mail!$A19)),"",MID(Mail!$A19,FIND(I$2,Mail!$A19)+LEN(I$2)+1,IF(ISERROR(FIND("■",Mail!$A19,FIND(I$2,Mail!$A19)+LEN(I$2))-FIND(I$2,Mail!$A19)-LEN(I$2)),LEN(Mail!$A19)-60-FIND(I$2,Mail!$A19)-LEN(I$2),FIND("■",Mail!$A19,FIND(I$2,Mail!$A19)+LEN(I$2))-FIND(I$2,Mail!$A19)-LEN(I$2)-1)))))</f>
        <v/>
      </c>
      <c r="J21" s="8" t="str">
        <f>TRIM(IF(ISERROR(FIND(J$2,Mail!$A19)),"",MID(Mail!$A19,FIND(J$2,Mail!$A19)+LEN(J$2)+1,IF(ISERROR(FIND("■",Mail!$A19,FIND(J$2,Mail!$A19)+LEN(J$2))-FIND(J$2,Mail!$A19)-LEN(J$2)),LEN(Mail!$A19)-60-FIND(J$2,Mail!$A19)-LEN(J$2),FIND("■",Mail!$A19,FIND(J$2,Mail!$A19)+LEN(J$2))-FIND(J$2,Mail!$A19)-LEN(J$2)-1))))</f>
        <v/>
      </c>
      <c r="K21" s="8" t="str">
        <f>TRIM(IF(ISERROR(FIND(K$2,Mail!$A19)),"",MID(Mail!$A19,FIND(K$2,Mail!$A19)+LEN(K$2)+1,IF(ISERROR(FIND("■",Mail!$A19,FIND(K$2,Mail!$A19)+LEN(K$2))-FIND(K$2,Mail!$A19)-LEN(K$2)),LEN(Mail!$A19)-60-FIND(K$2,Mail!$A19)-LEN(K$2),FIND("■",Mail!$A19,FIND(K$2,Mail!$A19)+LEN(K$2))-FIND(K$2,Mail!$A19)-LEN(K$2)-1))))</f>
        <v/>
      </c>
      <c r="L21" s="8" t="str">
        <f>TRIM(IF(ISERROR(FIND(L$2,Mail!$A19)),"",MID(Mail!$A19,FIND(L$2,Mail!$A19)+LEN(L$2)+1,IF(ISERROR(FIND("■",Mail!$A19,FIND(L$2,Mail!$A19)+LEN(L$2))-FIND(L$2,Mail!$A19)-LEN(L$2)),LEN(Mail!$A19)-60-FIND(L$2,Mail!$A19)-LEN(L$2),FIND("■",Mail!$A19,FIND(L$2,Mail!$A19)+LEN(L$2))-FIND(L$2,Mail!$A19)-LEN(L$2)-1))))</f>
        <v/>
      </c>
      <c r="M21" s="8" t="str">
        <f>TRIM(CLEAN(IF(ISERROR(FIND(M$2,Mail!$A19)),"",MID(Mail!$A19,FIND(M$2,Mail!$A19)+LEN(M$2)+1,IF(ISERROR(FIND("■",Mail!$A19,FIND(M$2,Mail!$A19)+LEN(M$2))-FIND(M$2,Mail!$A19)-LEN(M$2)),LEN(Mail!$A19)-60-FIND(M$2,Mail!$A19)-LEN(M$2),FIND("■",Mail!$A19,FIND(M$2,Mail!$A19)+LEN(M$2))-FIND(M$2,Mail!$A19)-LEN(M$2)-1)))))</f>
        <v/>
      </c>
      <c r="N21" s="8" t="str">
        <f>TRIM(CLEAN(IF(ISERROR(FIND(N$2,Mail!$A19)),"",MID(Mail!$A19,FIND(N$2,Mail!$A19)+LEN(N$2)+1,IF(ISERROR(FIND("■",Mail!$A19,FIND(N$2,Mail!$A19)+LEN(N$2))-FIND(N$2,Mail!$A19)-LEN(N$2)),LEN(Mail!$A19)-60-FIND(N$2,Mail!$A19)-LEN(N$2),FIND("■",Mail!$A19,FIND(N$2,Mail!$A19)+LEN(N$2))-FIND(N$2,Mail!$A19)-LEN(N$2)-1)))))</f>
        <v/>
      </c>
      <c r="O21" s="8" t="str">
        <f>TRIM(CLEAN(IF(ISERROR(FIND(O$2,Mail!$A19)),"",MID(Mail!$A19,FIND(O$2,Mail!$A19)+LEN(O$2)+1,IF(ISERROR(FIND("■",Mail!$A19,FIND(O$2,Mail!$A19)+LEN(O$2))-FIND(O$2,Mail!$A19)-LEN(O$2)),LEN(Mail!$A19)-60-FIND(O$2,Mail!$A19)-LEN(O$2),FIND("■",Mail!$A19,FIND(O$2,Mail!$A19)+LEN(O$2))-FIND(O$2,Mail!$A19)-LEN(O$2)-1)))))</f>
        <v/>
      </c>
      <c r="P21" s="8" t="str">
        <f>TRIM(CLEAN(IF(ISERROR(FIND(P$2,Mail!$A19)),"",MID(Mail!$A19,FIND(P$2,Mail!$A19)+LEN(P$2)+1,IF(ISERROR(FIND("■",Mail!$A19,FIND(P$2,Mail!$A19)+LEN(P$2))-FIND(P$2,Mail!$A19)-LEN(P$2)),LEN(Mail!$A19)-60-FIND(P$2,Mail!$A19)-LEN(P$2),FIND("■",Mail!$A19,FIND(P$2,Mail!$A19)+LEN(P$2))-FIND(P$2,Mail!$A19)-LEN(P$2)-1)))))</f>
        <v/>
      </c>
      <c r="Q21" s="8" t="str">
        <f>TRIM(CLEAN(IF(ISERROR(FIND(Q$2,Mail!$A19)),"",MID(Mail!$A19,FIND(Q$2,Mail!$A19)+LEN(Q$2)+1,IF(ISERROR(FIND("■",Mail!$A19,FIND(Q$2,Mail!$A19)+LEN(Q$2))-FIND(Q$2,Mail!$A19)-LEN(Q$2)),LEN(Mail!$A19)-60-FIND(Q$2,Mail!$A19)-LEN(Q$2),FIND("■",Mail!$A19,FIND(Q$2,Mail!$A19)+LEN(Q$2))-FIND(Q$2,Mail!$A19)-LEN(Q$2)-1)))))</f>
        <v/>
      </c>
      <c r="R21" s="8" t="str">
        <f>TRIM(CLEAN(IF(ISERROR(FIND(R$2,Mail!$A19)),"",MID(Mail!$A19,FIND(R$2,Mail!$A19)+LEN(R$2)+1,IF(ISERROR(FIND("■",Mail!$A19,FIND(R$2,Mail!$A19)+LEN(R$2))-FIND(R$2,Mail!$A19)-LEN(R$2)),LEN(Mail!$A19)-60-FIND(R$2,Mail!$A19)-LEN(R$2),FIND("■",Mail!$A19,FIND(R$2,Mail!$A19)+LEN(R$2))-FIND(R$2,Mail!$A19)-LEN(R$2)-1)))))</f>
        <v/>
      </c>
      <c r="S21" s="8" t="str">
        <f>TRIM(CLEAN(IF(ISERROR(FIND(S$2,Mail!$A19)),"",MID(Mail!$A19,FIND(S$2,Mail!$A19)+LEN(S$2)+1,IF(ISERROR(FIND("■",Mail!$A19,FIND(S$2,Mail!$A19)+LEN(S$2))-FIND(S$2,Mail!$A19)-LEN(S$2)),LEN(Mail!$A19)-60-FIND(S$2,Mail!$A19)-LEN(S$2),FIND("■",Mail!$A19,FIND(S$2,Mail!$A19)+LEN(S$2))-FIND(S$2,Mail!$A19)-LEN(S$2)-1)))))</f>
        <v/>
      </c>
      <c r="T21" s="8" t="str">
        <f>TRIM(CLEAN(IF(ISERROR(FIND(T$2,Mail!$A19)),"",MID(Mail!$A19,FIND(T$2,Mail!$A19)+LEN(T$2)+1,IF(ISERROR(FIND("■",Mail!$A19,FIND(T$2,Mail!$A19)+LEN(T$2))-FIND(T$2,Mail!$A19)-LEN(T$2)),LEN(Mail!$A19)-60-FIND(T$2,Mail!$A19)-LEN(T$2),FIND("■",Mail!$A19,FIND(T$2,Mail!$A19)+LEN(T$2))-FIND(T$2,Mail!$A19)-LEN(T$2)-1)))))</f>
        <v/>
      </c>
      <c r="U21" s="8" t="str">
        <f>TRIM(CLEAN(IF(ISERROR(FIND(U$2,Mail!$A19)),"",MID(Mail!$A19,FIND(U$2,Mail!$A19)+LEN(U$2)+1,IF(ISERROR(FIND("■",Mail!$A19,FIND(U$2,Mail!$A19)+LEN(U$2))-FIND(U$2,Mail!$A19)-LEN(U$2)),LEN(Mail!$A19)-60-FIND(U$2,Mail!$A19)-LEN(U$2),FIND("■",Mail!$A19,FIND(U$2,Mail!$A19)+LEN(U$2))-FIND(U$2,Mail!$A19)-LEN(U$2)-1)))))</f>
        <v/>
      </c>
      <c r="V21" s="8" t="str">
        <f>TRIM(CLEAN(IF(ISERROR(FIND(V$2,Mail!$A19)),"",MID(Mail!$A19,FIND(V$2,Mail!$A19)+LEN(V$2)+1,IF(ISERROR(FIND("■",Mail!$A19,FIND(V$2,Mail!$A19)+LEN(V$2))-FIND(V$2,Mail!$A19)-LEN(V$2)),LEN(Mail!$A19)-60-FIND(V$2,Mail!$A19)-LEN(V$2),FIND("■",Mail!$A19,FIND(V$2,Mail!$A19)+LEN(V$2))-FIND(V$2,Mail!$A19)-LEN(V$2)-1)))))</f>
        <v/>
      </c>
      <c r="W21" s="8" t="str">
        <f>TRIM(CLEAN(IF(ISERROR(FIND(W$2,Mail!$A19)),"",MID(Mail!$A19,FIND(W$2,Mail!$A19)+LEN(W$2)+1,IF(ISERROR(FIND("■",Mail!$A19,FIND(W$2,Mail!$A19)+LEN(W$2))-FIND(W$2,Mail!$A19)-LEN(W$2)),LEN(Mail!$A19)-60-FIND(W$2,Mail!$A19)-LEN(W$2),FIND("■",Mail!$A19,FIND(W$2,Mail!$A19)+LEN(W$2))-FIND(W$2,Mail!$A19)-LEN(W$2)-1)))))</f>
        <v/>
      </c>
      <c r="X21" s="8" t="str">
        <f>TRIM(IF(ISERROR(FIND(X$2,Mail!$A19)),"",MID(Mail!$A19,FIND(X$2,Mail!$A19)+LEN(X$2)+1,IF(ISERROR(FIND("■",Mail!$A19,FIND(X$2,Mail!$A19)+LEN(X$2))-FIND(X$2,Mail!$A19)-LEN(X$2)),LEN(Mail!$A19)-60-FIND(X$2,Mail!$A19)-LEN(X$2),FIND("■",Mail!$A19,FIND(X$2,Mail!$A19)+LEN(X$2))-FIND(X$2,Mail!$A19)-LEN(X$2)-1))))</f>
        <v/>
      </c>
      <c r="Y21" s="8" t="str">
        <f>TRIM(CLEAN(IF(ISERROR(FIND(Y$2,Mail!$A19)),"",MID(Mail!$A19,FIND(Y$2,Mail!$A19)+LEN(Y$2)+1,IF(ISERROR(FIND("■",Mail!$A19,FIND(Y$2,Mail!$A19)+LEN(Y$2))-FIND(Y$2,Mail!$A19)-LEN(Y$2)),LEN(Mail!$A19)-60-FIND(Y$2,Mail!$A19)-LEN(Y$2),FIND("■",Mail!$A19,FIND(Y$2,Mail!$A19)+LEN(Y$2))-FIND(Y$2,Mail!$A19)-LEN(Y$2)-1)))))</f>
        <v/>
      </c>
      <c r="Z21" s="8" t="str">
        <f>TRIM(CLEAN(IF(ISERROR(FIND(Z$2,Mail!$A19)),"",MID(Mail!$A19,FIND(Z$2,Mail!$A19)+LEN(Z$2)+1,IF(ISERROR(FIND("■",Mail!$A19,FIND(Z$2,Mail!$A19)+LEN(Z$2))-FIND(Z$2,Mail!$A19)-LEN(Z$2)),LEN(Mail!$A19)-60-FIND(Z$2,Mail!$A19)-LEN(Z$2),FIND("■",Mail!$A19,FIND(Z$2,Mail!$A19)+LEN(Z$2))-FIND(Z$2,Mail!$A19)-LEN(Z$2)-1)))))</f>
        <v/>
      </c>
      <c r="AA21" s="8" t="str">
        <f>TRIM(CLEAN(IF(ISERROR(FIND(AA$2,Mail!$A19)),"",MID(Mail!$A19,FIND(AA$2,Mail!$A19)+LEN(AA$2)+1,IF(ISERROR(FIND("■",Mail!$A19,FIND(AA$2,Mail!$A19)+LEN(AA$2))-FIND(AA$2,Mail!$A19)-LEN(AA$2)),LEN(Mail!$A19)-60-FIND(AA$2,Mail!$A19)-LEN(AA$2),FIND("■",Mail!$A19,FIND(AA$2,Mail!$A19)+LEN(AA$2))-FIND(AA$2,Mail!$A19)-LEN(AA$2)-1)))))</f>
        <v/>
      </c>
      <c r="AB21" s="8" t="str">
        <f>TRIM(CLEAN(IF(ISERROR(FIND(AB$2,Mail!$A19)),"",MID(Mail!$A19,FIND(AB$2,Mail!$A19)+LEN(AB$2)+1,IF(ISERROR(FIND("■",Mail!$A19,FIND(AB$2,Mail!$A19)+LEN(AB$2))-FIND(AB$2,Mail!$A19)-LEN(AB$2)),LEN(Mail!$A19)-60-FIND(AB$2,Mail!$A19)-LEN(AB$2),FIND("■",Mail!$A19,FIND(AB$2,Mail!$A19)+LEN(AB$2))-FIND(AB$2,Mail!$A19)-LEN(AB$2)-1)))))</f>
        <v/>
      </c>
      <c r="AC21" s="8" t="str">
        <f>TRIM(CLEAN(IF(ISERROR(FIND(AC$2,Mail!$A19)),"",MID(Mail!$A19,FIND(AC$2,Mail!$A19)+LEN(AC$2)+1,IF(ISERROR(FIND("■",Mail!$A19,FIND(AC$2,Mail!$A19)+LEN(AC$2))-FIND(AC$2,Mail!$A19)-LEN(AC$2)),LEN(Mail!$A19)-60-FIND(AC$2,Mail!$A19)-LEN(AC$2),FIND("■",Mail!$A19,FIND(AC$2,Mail!$A19)+LEN(AC$2))-FIND(AC$2,Mail!$A19)-LEN(AC$2)-1)))))</f>
        <v/>
      </c>
      <c r="AD21" s="8" t="str">
        <f>TRIM(CLEAN(IF(ISERROR(FIND(AD$2,Mail!$A19)),"",MID(Mail!$A19,FIND(AD$2,Mail!$A19)+LEN(AD$2)+1,IF(ISERROR(FIND("■",Mail!$A19,FIND(AD$2,Mail!$A19)+LEN(AD$2))-FIND(AD$2,Mail!$A19)-LEN(AD$2)),LEN(Mail!$A19)-60-FIND(AD$2,Mail!$A19)-LEN(AD$2),FIND("■",Mail!$A19,FIND(AD$2,Mail!$A19)+LEN(AD$2))-FIND(AD$2,Mail!$A19)-LEN(AD$2)-1)))))</f>
        <v/>
      </c>
      <c r="AE21" s="8" t="str">
        <f>TRIM(CLEAN(IF(ISERROR(FIND(AE$2,Mail!$A19)),"",MID(Mail!$A19,FIND(AE$2,Mail!$A19)+LEN(AE$2)+1,IF(ISERROR(FIND("■",Mail!$A19,FIND(AE$2,Mail!$A19)+LEN(AE$2))-FIND(AE$2,Mail!$A19)-LEN(AE$2)),LEN(Mail!$A19)-60-FIND(AE$2,Mail!$A19)-LEN(AE$2),FIND("■",Mail!$A19,FIND(AE$2,Mail!$A19)+LEN(AE$2))-FIND(AE$2,Mail!$A19)-LEN(AE$2)-1)))))</f>
        <v/>
      </c>
      <c r="AF21" s="8" t="str">
        <f>TRIM(CLEAN(IF(ISERROR(FIND(AF$2,Mail!$A19)),"",MID(Mail!$A19,FIND(AF$2,Mail!$A19)+LEN(AF$2)+1,IF(ISERROR(FIND("■",Mail!$A19,FIND(AF$2,Mail!$A19)+LEN(AF$2))-FIND(AF$2,Mail!$A19)-LEN(AF$2)),LEN(Mail!$A19)-60-FIND(AF$2,Mail!$A19)-LEN(AF$2),FIND("■",Mail!$A19,FIND(AF$2,Mail!$A19)+LEN(AF$2))-FIND(AF$2,Mail!$A19)-LEN(AF$2)-1)))))</f>
        <v/>
      </c>
      <c r="AG21" s="8" t="str">
        <f>TRIM(IF(ISERROR(FIND(AG$2,Mail!$A19)),"",MID(Mail!$A19,FIND(AG$2,Mail!$A19)+LEN(AG$2)+1,IF(ISERROR(FIND("■",Mail!$A19,FIND(AG$2,Mail!$A19)+LEN(AG$2))-FIND(AG$2,Mail!$A19)-LEN(AG$2)),LEN(Mail!$A19)-60-FIND(AG$2,Mail!$A19)-LEN(AG$2),FIND("■",Mail!$A19,FIND(AG$2,Mail!$A19)+LEN(AG$2))-FIND(AG$2,Mail!$A19)-LEN(AG$2)-1))))</f>
        <v/>
      </c>
      <c r="AH21" s="8" t="str">
        <f>TRIM(IF(ISERROR(FIND(AH$2,Mail!$A19)),"",MID(Mail!$A19,FIND(AH$2,Mail!$A19)+LEN(AH$2)+1,IF(ISERROR(FIND("■",Mail!$A19,FIND(AH$2,Mail!$A19)+LEN(AH$2))-FIND(AH$2,Mail!$A19)-LEN(AH$2)),LEN(Mail!$A19)-60-FIND(AH$2,Mail!$A19)-LEN(AH$2),FIND("■",Mail!$A19,FIND(AH$2,Mail!$A19)+LEN(AH$2))-FIND(AH$2,Mail!$A19)-LEN(AH$2)-1))))</f>
        <v/>
      </c>
      <c r="AI21" s="8" t="str">
        <f>TRIM(IF(ISERROR(FIND(AI$2,Mail!$A19)),"",MID(Mail!$A19,FIND(AI$2,Mail!$A19)+LEN(AI$2)+1,IF(ISERROR(FIND("■",Mail!$A19,FIND(AI$2,Mail!$A19)+LEN(AI$2))-FIND(AI$2,Mail!$A19)-LEN(AI$2)),LEN(Mail!$A19)-60-FIND(AI$2,Mail!$A19)-LEN(AI$2),FIND("■",Mail!$A19,FIND(AI$2,Mail!$A19)+LEN(AI$2))-FIND(AI$2,Mail!$A19)-LEN(AI$2)-1))))</f>
        <v/>
      </c>
    </row>
    <row r="22" spans="1:35" s="8" customFormat="1" x14ac:dyDescent="0.15">
      <c r="A22" s="9" t="str">
        <f t="shared" si="1"/>
        <v/>
      </c>
      <c r="B22" s="8" t="str">
        <f>CLEAN(SUBSTITUTE(IF(ISERROR(FIND("yokohama",Mail!$A20)),"",MID(Mail!$A20,FIND("yokohama",Mail!$A20)+LEN("yokohama")+1,FIND("件目",Mail!$A20,FIND("yokohama",Mail!$A20))-(FIND("yokohama",Mail!$A20)+LEN("yokohama")+1)))," ",""))</f>
        <v/>
      </c>
      <c r="C22" s="9" t="str">
        <f t="shared" si="0"/>
        <v/>
      </c>
      <c r="D22" s="9" t="str">
        <f t="shared" si="2"/>
        <v/>
      </c>
      <c r="E22" s="8" t="str">
        <f t="shared" si="3"/>
        <v/>
      </c>
      <c r="F22" s="8" t="str">
        <f>TRIM(CLEAN(IF(ISERROR(FIND(F$2,Mail!$A20)),"",MID(Mail!$A20,FIND(F$2,Mail!$A20)+LEN(F$2)+1,IF(ISERROR(FIND("■",Mail!$A20,FIND(F$2,Mail!$A20)+LEN(F$2))-FIND(F$2,Mail!$A20)-LEN(F$2)),LEN(Mail!$A20)-60-FIND(F$2,Mail!$A20)-LEN(F$2),FIND("■",Mail!$A20,FIND(F$2,Mail!$A20)+LEN(F$2))-FIND(F$2,Mail!$A20)-LEN(F$2)-1)))))</f>
        <v/>
      </c>
      <c r="G22" s="8" t="str">
        <f>TRIM(CLEAN(IF(ISERROR(FIND(G$2,Mail!$A20)),"",MID(Mail!$A20,FIND(G$2,Mail!$A20)+LEN(G$2)+1,IF(ISERROR(FIND("■",Mail!$A20,FIND(G$2,Mail!$A20)+LEN(G$2))-FIND(G$2,Mail!$A20)-LEN(G$2)),LEN(Mail!$A20)-60-FIND(G$2,Mail!$A20)-LEN(G$2),FIND("■",Mail!$A20,FIND(G$2,Mail!$A20)+LEN(G$2))-FIND(G$2,Mail!$A20)-LEN(G$2)-1)))))</f>
        <v/>
      </c>
      <c r="H22" s="8" t="str">
        <f>TRIM(CLEAN(IF(ISERROR(FIND(H$2,Mail!$A20)),"",MID(Mail!$A20,FIND(H$2,Mail!$A20)+LEN(H$2)+1,IF(ISERROR(FIND("■",Mail!$A20,FIND(H$2,Mail!$A20)+LEN(H$2))-FIND(H$2,Mail!$A20)-LEN(H$2)),LEN(Mail!$A20)-60-FIND(H$2,Mail!$A20)-LEN(H$2),FIND("■",Mail!$A20,FIND(H$2,Mail!$A20)+LEN(H$2))-FIND(H$2,Mail!$A20)-LEN(H$2)-1)))))</f>
        <v/>
      </c>
      <c r="I22" s="8" t="str">
        <f>TRIM(CLEAN(IF(ISERROR(FIND(I$2,Mail!$A20)),"",MID(Mail!$A20,FIND(I$2,Mail!$A20)+LEN(I$2)+1,IF(ISERROR(FIND("■",Mail!$A20,FIND(I$2,Mail!$A20)+LEN(I$2))-FIND(I$2,Mail!$A20)-LEN(I$2)),LEN(Mail!$A20)-60-FIND(I$2,Mail!$A20)-LEN(I$2),FIND("■",Mail!$A20,FIND(I$2,Mail!$A20)+LEN(I$2))-FIND(I$2,Mail!$A20)-LEN(I$2)-1)))))</f>
        <v/>
      </c>
      <c r="J22" s="8" t="str">
        <f>TRIM(IF(ISERROR(FIND(J$2,Mail!$A20)),"",MID(Mail!$A20,FIND(J$2,Mail!$A20)+LEN(J$2)+1,IF(ISERROR(FIND("■",Mail!$A20,FIND(J$2,Mail!$A20)+LEN(J$2))-FIND(J$2,Mail!$A20)-LEN(J$2)),LEN(Mail!$A20)-60-FIND(J$2,Mail!$A20)-LEN(J$2),FIND("■",Mail!$A20,FIND(J$2,Mail!$A20)+LEN(J$2))-FIND(J$2,Mail!$A20)-LEN(J$2)-1))))</f>
        <v/>
      </c>
      <c r="K22" s="8" t="str">
        <f>TRIM(IF(ISERROR(FIND(K$2,Mail!$A20)),"",MID(Mail!$A20,FIND(K$2,Mail!$A20)+LEN(K$2)+1,IF(ISERROR(FIND("■",Mail!$A20,FIND(K$2,Mail!$A20)+LEN(K$2))-FIND(K$2,Mail!$A20)-LEN(K$2)),LEN(Mail!$A20)-60-FIND(K$2,Mail!$A20)-LEN(K$2),FIND("■",Mail!$A20,FIND(K$2,Mail!$A20)+LEN(K$2))-FIND(K$2,Mail!$A20)-LEN(K$2)-1))))</f>
        <v/>
      </c>
      <c r="L22" s="8" t="str">
        <f>TRIM(IF(ISERROR(FIND(L$2,Mail!$A20)),"",MID(Mail!$A20,FIND(L$2,Mail!$A20)+LEN(L$2)+1,IF(ISERROR(FIND("■",Mail!$A20,FIND(L$2,Mail!$A20)+LEN(L$2))-FIND(L$2,Mail!$A20)-LEN(L$2)),LEN(Mail!$A20)-60-FIND(L$2,Mail!$A20)-LEN(L$2),FIND("■",Mail!$A20,FIND(L$2,Mail!$A20)+LEN(L$2))-FIND(L$2,Mail!$A20)-LEN(L$2)-1))))</f>
        <v/>
      </c>
      <c r="M22" s="8" t="str">
        <f>TRIM(CLEAN(IF(ISERROR(FIND(M$2,Mail!$A20)),"",MID(Mail!$A20,FIND(M$2,Mail!$A20)+LEN(M$2)+1,IF(ISERROR(FIND("■",Mail!$A20,FIND(M$2,Mail!$A20)+LEN(M$2))-FIND(M$2,Mail!$A20)-LEN(M$2)),LEN(Mail!$A20)-60-FIND(M$2,Mail!$A20)-LEN(M$2),FIND("■",Mail!$A20,FIND(M$2,Mail!$A20)+LEN(M$2))-FIND(M$2,Mail!$A20)-LEN(M$2)-1)))))</f>
        <v/>
      </c>
      <c r="N22" s="8" t="str">
        <f>TRIM(CLEAN(IF(ISERROR(FIND(N$2,Mail!$A20)),"",MID(Mail!$A20,FIND(N$2,Mail!$A20)+LEN(N$2)+1,IF(ISERROR(FIND("■",Mail!$A20,FIND(N$2,Mail!$A20)+LEN(N$2))-FIND(N$2,Mail!$A20)-LEN(N$2)),LEN(Mail!$A20)-60-FIND(N$2,Mail!$A20)-LEN(N$2),FIND("■",Mail!$A20,FIND(N$2,Mail!$A20)+LEN(N$2))-FIND(N$2,Mail!$A20)-LEN(N$2)-1)))))</f>
        <v/>
      </c>
      <c r="O22" s="8" t="str">
        <f>TRIM(CLEAN(IF(ISERROR(FIND(O$2,Mail!$A20)),"",MID(Mail!$A20,FIND(O$2,Mail!$A20)+LEN(O$2)+1,IF(ISERROR(FIND("■",Mail!$A20,FIND(O$2,Mail!$A20)+LEN(O$2))-FIND(O$2,Mail!$A20)-LEN(O$2)),LEN(Mail!$A20)-60-FIND(O$2,Mail!$A20)-LEN(O$2),FIND("■",Mail!$A20,FIND(O$2,Mail!$A20)+LEN(O$2))-FIND(O$2,Mail!$A20)-LEN(O$2)-1)))))</f>
        <v/>
      </c>
      <c r="P22" s="8" t="str">
        <f>TRIM(CLEAN(IF(ISERROR(FIND(P$2,Mail!$A20)),"",MID(Mail!$A20,FIND(P$2,Mail!$A20)+LEN(P$2)+1,IF(ISERROR(FIND("■",Mail!$A20,FIND(P$2,Mail!$A20)+LEN(P$2))-FIND(P$2,Mail!$A20)-LEN(P$2)),LEN(Mail!$A20)-60-FIND(P$2,Mail!$A20)-LEN(P$2),FIND("■",Mail!$A20,FIND(P$2,Mail!$A20)+LEN(P$2))-FIND(P$2,Mail!$A20)-LEN(P$2)-1)))))</f>
        <v/>
      </c>
      <c r="Q22" s="8" t="str">
        <f>TRIM(CLEAN(IF(ISERROR(FIND(Q$2,Mail!$A20)),"",MID(Mail!$A20,FIND(Q$2,Mail!$A20)+LEN(Q$2)+1,IF(ISERROR(FIND("■",Mail!$A20,FIND(Q$2,Mail!$A20)+LEN(Q$2))-FIND(Q$2,Mail!$A20)-LEN(Q$2)),LEN(Mail!$A20)-60-FIND(Q$2,Mail!$A20)-LEN(Q$2),FIND("■",Mail!$A20,FIND(Q$2,Mail!$A20)+LEN(Q$2))-FIND(Q$2,Mail!$A20)-LEN(Q$2)-1)))))</f>
        <v/>
      </c>
      <c r="R22" s="8" t="str">
        <f>TRIM(CLEAN(IF(ISERROR(FIND(R$2,Mail!$A20)),"",MID(Mail!$A20,FIND(R$2,Mail!$A20)+LEN(R$2)+1,IF(ISERROR(FIND("■",Mail!$A20,FIND(R$2,Mail!$A20)+LEN(R$2))-FIND(R$2,Mail!$A20)-LEN(R$2)),LEN(Mail!$A20)-60-FIND(R$2,Mail!$A20)-LEN(R$2),FIND("■",Mail!$A20,FIND(R$2,Mail!$A20)+LEN(R$2))-FIND(R$2,Mail!$A20)-LEN(R$2)-1)))))</f>
        <v/>
      </c>
      <c r="S22" s="8" t="str">
        <f>TRIM(CLEAN(IF(ISERROR(FIND(S$2,Mail!$A20)),"",MID(Mail!$A20,FIND(S$2,Mail!$A20)+LEN(S$2)+1,IF(ISERROR(FIND("■",Mail!$A20,FIND(S$2,Mail!$A20)+LEN(S$2))-FIND(S$2,Mail!$A20)-LEN(S$2)),LEN(Mail!$A20)-60-FIND(S$2,Mail!$A20)-LEN(S$2),FIND("■",Mail!$A20,FIND(S$2,Mail!$A20)+LEN(S$2))-FIND(S$2,Mail!$A20)-LEN(S$2)-1)))))</f>
        <v/>
      </c>
      <c r="T22" s="8" t="str">
        <f>TRIM(CLEAN(IF(ISERROR(FIND(T$2,Mail!$A20)),"",MID(Mail!$A20,FIND(T$2,Mail!$A20)+LEN(T$2)+1,IF(ISERROR(FIND("■",Mail!$A20,FIND(T$2,Mail!$A20)+LEN(T$2))-FIND(T$2,Mail!$A20)-LEN(T$2)),LEN(Mail!$A20)-60-FIND(T$2,Mail!$A20)-LEN(T$2),FIND("■",Mail!$A20,FIND(T$2,Mail!$A20)+LEN(T$2))-FIND(T$2,Mail!$A20)-LEN(T$2)-1)))))</f>
        <v/>
      </c>
      <c r="U22" s="8" t="str">
        <f>TRIM(CLEAN(IF(ISERROR(FIND(U$2,Mail!$A20)),"",MID(Mail!$A20,FIND(U$2,Mail!$A20)+LEN(U$2)+1,IF(ISERROR(FIND("■",Mail!$A20,FIND(U$2,Mail!$A20)+LEN(U$2))-FIND(U$2,Mail!$A20)-LEN(U$2)),LEN(Mail!$A20)-60-FIND(U$2,Mail!$A20)-LEN(U$2),FIND("■",Mail!$A20,FIND(U$2,Mail!$A20)+LEN(U$2))-FIND(U$2,Mail!$A20)-LEN(U$2)-1)))))</f>
        <v/>
      </c>
      <c r="V22" s="8" t="str">
        <f>TRIM(CLEAN(IF(ISERROR(FIND(V$2,Mail!$A20)),"",MID(Mail!$A20,FIND(V$2,Mail!$A20)+LEN(V$2)+1,IF(ISERROR(FIND("■",Mail!$A20,FIND(V$2,Mail!$A20)+LEN(V$2))-FIND(V$2,Mail!$A20)-LEN(V$2)),LEN(Mail!$A20)-60-FIND(V$2,Mail!$A20)-LEN(V$2),FIND("■",Mail!$A20,FIND(V$2,Mail!$A20)+LEN(V$2))-FIND(V$2,Mail!$A20)-LEN(V$2)-1)))))</f>
        <v/>
      </c>
      <c r="W22" s="8" t="str">
        <f>TRIM(CLEAN(IF(ISERROR(FIND(W$2,Mail!$A20)),"",MID(Mail!$A20,FIND(W$2,Mail!$A20)+LEN(W$2)+1,IF(ISERROR(FIND("■",Mail!$A20,FIND(W$2,Mail!$A20)+LEN(W$2))-FIND(W$2,Mail!$A20)-LEN(W$2)),LEN(Mail!$A20)-60-FIND(W$2,Mail!$A20)-LEN(W$2),FIND("■",Mail!$A20,FIND(W$2,Mail!$A20)+LEN(W$2))-FIND(W$2,Mail!$A20)-LEN(W$2)-1)))))</f>
        <v/>
      </c>
      <c r="X22" s="8" t="str">
        <f>TRIM(IF(ISERROR(FIND(X$2,Mail!$A20)),"",MID(Mail!$A20,FIND(X$2,Mail!$A20)+LEN(X$2)+1,IF(ISERROR(FIND("■",Mail!$A20,FIND(X$2,Mail!$A20)+LEN(X$2))-FIND(X$2,Mail!$A20)-LEN(X$2)),LEN(Mail!$A20)-60-FIND(X$2,Mail!$A20)-LEN(X$2),FIND("■",Mail!$A20,FIND(X$2,Mail!$A20)+LEN(X$2))-FIND(X$2,Mail!$A20)-LEN(X$2)-1))))</f>
        <v/>
      </c>
      <c r="Y22" s="8" t="str">
        <f>TRIM(CLEAN(IF(ISERROR(FIND(Y$2,Mail!$A20)),"",MID(Mail!$A20,FIND(Y$2,Mail!$A20)+LEN(Y$2)+1,IF(ISERROR(FIND("■",Mail!$A20,FIND(Y$2,Mail!$A20)+LEN(Y$2))-FIND(Y$2,Mail!$A20)-LEN(Y$2)),LEN(Mail!$A20)-60-FIND(Y$2,Mail!$A20)-LEN(Y$2),FIND("■",Mail!$A20,FIND(Y$2,Mail!$A20)+LEN(Y$2))-FIND(Y$2,Mail!$A20)-LEN(Y$2)-1)))))</f>
        <v/>
      </c>
      <c r="Z22" s="8" t="str">
        <f>TRIM(CLEAN(IF(ISERROR(FIND(Z$2,Mail!$A20)),"",MID(Mail!$A20,FIND(Z$2,Mail!$A20)+LEN(Z$2)+1,IF(ISERROR(FIND("■",Mail!$A20,FIND(Z$2,Mail!$A20)+LEN(Z$2))-FIND(Z$2,Mail!$A20)-LEN(Z$2)),LEN(Mail!$A20)-60-FIND(Z$2,Mail!$A20)-LEN(Z$2),FIND("■",Mail!$A20,FIND(Z$2,Mail!$A20)+LEN(Z$2))-FIND(Z$2,Mail!$A20)-LEN(Z$2)-1)))))</f>
        <v/>
      </c>
      <c r="AA22" s="8" t="str">
        <f>TRIM(CLEAN(IF(ISERROR(FIND(AA$2,Mail!$A20)),"",MID(Mail!$A20,FIND(AA$2,Mail!$A20)+LEN(AA$2)+1,IF(ISERROR(FIND("■",Mail!$A20,FIND(AA$2,Mail!$A20)+LEN(AA$2))-FIND(AA$2,Mail!$A20)-LEN(AA$2)),LEN(Mail!$A20)-60-FIND(AA$2,Mail!$A20)-LEN(AA$2),FIND("■",Mail!$A20,FIND(AA$2,Mail!$A20)+LEN(AA$2))-FIND(AA$2,Mail!$A20)-LEN(AA$2)-1)))))</f>
        <v/>
      </c>
      <c r="AB22" s="8" t="str">
        <f>TRIM(CLEAN(IF(ISERROR(FIND(AB$2,Mail!$A20)),"",MID(Mail!$A20,FIND(AB$2,Mail!$A20)+LEN(AB$2)+1,IF(ISERROR(FIND("■",Mail!$A20,FIND(AB$2,Mail!$A20)+LEN(AB$2))-FIND(AB$2,Mail!$A20)-LEN(AB$2)),LEN(Mail!$A20)-60-FIND(AB$2,Mail!$A20)-LEN(AB$2),FIND("■",Mail!$A20,FIND(AB$2,Mail!$A20)+LEN(AB$2))-FIND(AB$2,Mail!$A20)-LEN(AB$2)-1)))))</f>
        <v/>
      </c>
      <c r="AC22" s="8" t="str">
        <f>TRIM(CLEAN(IF(ISERROR(FIND(AC$2,Mail!$A20)),"",MID(Mail!$A20,FIND(AC$2,Mail!$A20)+LEN(AC$2)+1,IF(ISERROR(FIND("■",Mail!$A20,FIND(AC$2,Mail!$A20)+LEN(AC$2))-FIND(AC$2,Mail!$A20)-LEN(AC$2)),LEN(Mail!$A20)-60-FIND(AC$2,Mail!$A20)-LEN(AC$2),FIND("■",Mail!$A20,FIND(AC$2,Mail!$A20)+LEN(AC$2))-FIND(AC$2,Mail!$A20)-LEN(AC$2)-1)))))</f>
        <v/>
      </c>
      <c r="AD22" s="8" t="str">
        <f>TRIM(CLEAN(IF(ISERROR(FIND(AD$2,Mail!$A20)),"",MID(Mail!$A20,FIND(AD$2,Mail!$A20)+LEN(AD$2)+1,IF(ISERROR(FIND("■",Mail!$A20,FIND(AD$2,Mail!$A20)+LEN(AD$2))-FIND(AD$2,Mail!$A20)-LEN(AD$2)),LEN(Mail!$A20)-60-FIND(AD$2,Mail!$A20)-LEN(AD$2),FIND("■",Mail!$A20,FIND(AD$2,Mail!$A20)+LEN(AD$2))-FIND(AD$2,Mail!$A20)-LEN(AD$2)-1)))))</f>
        <v/>
      </c>
      <c r="AE22" s="8" t="str">
        <f>TRIM(CLEAN(IF(ISERROR(FIND(AE$2,Mail!$A20)),"",MID(Mail!$A20,FIND(AE$2,Mail!$A20)+LEN(AE$2)+1,IF(ISERROR(FIND("■",Mail!$A20,FIND(AE$2,Mail!$A20)+LEN(AE$2))-FIND(AE$2,Mail!$A20)-LEN(AE$2)),LEN(Mail!$A20)-60-FIND(AE$2,Mail!$A20)-LEN(AE$2),FIND("■",Mail!$A20,FIND(AE$2,Mail!$A20)+LEN(AE$2))-FIND(AE$2,Mail!$A20)-LEN(AE$2)-1)))))</f>
        <v/>
      </c>
      <c r="AF22" s="8" t="str">
        <f>TRIM(CLEAN(IF(ISERROR(FIND(AF$2,Mail!$A20)),"",MID(Mail!$A20,FIND(AF$2,Mail!$A20)+LEN(AF$2)+1,IF(ISERROR(FIND("■",Mail!$A20,FIND(AF$2,Mail!$A20)+LEN(AF$2))-FIND(AF$2,Mail!$A20)-LEN(AF$2)),LEN(Mail!$A20)-60-FIND(AF$2,Mail!$A20)-LEN(AF$2),FIND("■",Mail!$A20,FIND(AF$2,Mail!$A20)+LEN(AF$2))-FIND(AF$2,Mail!$A20)-LEN(AF$2)-1)))))</f>
        <v/>
      </c>
      <c r="AG22" s="8" t="str">
        <f>TRIM(IF(ISERROR(FIND(AG$2,Mail!$A20)),"",MID(Mail!$A20,FIND(AG$2,Mail!$A20)+LEN(AG$2)+1,IF(ISERROR(FIND("■",Mail!$A20,FIND(AG$2,Mail!$A20)+LEN(AG$2))-FIND(AG$2,Mail!$A20)-LEN(AG$2)),LEN(Mail!$A20)-60-FIND(AG$2,Mail!$A20)-LEN(AG$2),FIND("■",Mail!$A20,FIND(AG$2,Mail!$A20)+LEN(AG$2))-FIND(AG$2,Mail!$A20)-LEN(AG$2)-1))))</f>
        <v/>
      </c>
      <c r="AH22" s="8" t="str">
        <f>TRIM(IF(ISERROR(FIND(AH$2,Mail!$A20)),"",MID(Mail!$A20,FIND(AH$2,Mail!$A20)+LEN(AH$2)+1,IF(ISERROR(FIND("■",Mail!$A20,FIND(AH$2,Mail!$A20)+LEN(AH$2))-FIND(AH$2,Mail!$A20)-LEN(AH$2)),LEN(Mail!$A20)-60-FIND(AH$2,Mail!$A20)-LEN(AH$2),FIND("■",Mail!$A20,FIND(AH$2,Mail!$A20)+LEN(AH$2))-FIND(AH$2,Mail!$A20)-LEN(AH$2)-1))))</f>
        <v/>
      </c>
      <c r="AI22" s="8" t="str">
        <f>TRIM(IF(ISERROR(FIND(AI$2,Mail!$A20)),"",MID(Mail!$A20,FIND(AI$2,Mail!$A20)+LEN(AI$2)+1,IF(ISERROR(FIND("■",Mail!$A20,FIND(AI$2,Mail!$A20)+LEN(AI$2))-FIND(AI$2,Mail!$A20)-LEN(AI$2)),LEN(Mail!$A20)-60-FIND(AI$2,Mail!$A20)-LEN(AI$2),FIND("■",Mail!$A20,FIND(AI$2,Mail!$A20)+LEN(AI$2))-FIND(AI$2,Mail!$A20)-LEN(AI$2)-1))))</f>
        <v/>
      </c>
    </row>
    <row r="23" spans="1:35" s="8" customFormat="1" x14ac:dyDescent="0.15">
      <c r="A23" s="9" t="str">
        <f t="shared" si="1"/>
        <v/>
      </c>
      <c r="B23" s="8" t="str">
        <f>CLEAN(SUBSTITUTE(IF(ISERROR(FIND("yokohama",Mail!$A21)),"",MID(Mail!$A21,FIND("yokohama",Mail!$A21)+LEN("yokohama")+1,FIND("件目",Mail!$A21,FIND("yokohama",Mail!$A21))-(FIND("yokohama",Mail!$A21)+LEN("yokohama")+1)))," ",""))</f>
        <v/>
      </c>
      <c r="C23" s="9" t="str">
        <f t="shared" si="0"/>
        <v/>
      </c>
      <c r="D23" s="9" t="str">
        <f t="shared" si="2"/>
        <v/>
      </c>
      <c r="E23" s="8" t="str">
        <f t="shared" si="3"/>
        <v/>
      </c>
      <c r="F23" s="8" t="str">
        <f>TRIM(CLEAN(IF(ISERROR(FIND(F$2,Mail!$A21)),"",MID(Mail!$A21,FIND(F$2,Mail!$A21)+LEN(F$2)+1,IF(ISERROR(FIND("■",Mail!$A21,FIND(F$2,Mail!$A21)+LEN(F$2))-FIND(F$2,Mail!$A21)-LEN(F$2)),LEN(Mail!$A21)-60-FIND(F$2,Mail!$A21)-LEN(F$2),FIND("■",Mail!$A21,FIND(F$2,Mail!$A21)+LEN(F$2))-FIND(F$2,Mail!$A21)-LEN(F$2)-1)))))</f>
        <v/>
      </c>
      <c r="G23" s="8" t="str">
        <f>TRIM(CLEAN(IF(ISERROR(FIND(G$2,Mail!$A21)),"",MID(Mail!$A21,FIND(G$2,Mail!$A21)+LEN(G$2)+1,IF(ISERROR(FIND("■",Mail!$A21,FIND(G$2,Mail!$A21)+LEN(G$2))-FIND(G$2,Mail!$A21)-LEN(G$2)),LEN(Mail!$A21)-60-FIND(G$2,Mail!$A21)-LEN(G$2),FIND("■",Mail!$A21,FIND(G$2,Mail!$A21)+LEN(G$2))-FIND(G$2,Mail!$A21)-LEN(G$2)-1)))))</f>
        <v/>
      </c>
      <c r="H23" s="8" t="str">
        <f>TRIM(CLEAN(IF(ISERROR(FIND(H$2,Mail!$A21)),"",MID(Mail!$A21,FIND(H$2,Mail!$A21)+LEN(H$2)+1,IF(ISERROR(FIND("■",Mail!$A21,FIND(H$2,Mail!$A21)+LEN(H$2))-FIND(H$2,Mail!$A21)-LEN(H$2)),LEN(Mail!$A21)-60-FIND(H$2,Mail!$A21)-LEN(H$2),FIND("■",Mail!$A21,FIND(H$2,Mail!$A21)+LEN(H$2))-FIND(H$2,Mail!$A21)-LEN(H$2)-1)))))</f>
        <v/>
      </c>
      <c r="I23" s="8" t="str">
        <f>TRIM(CLEAN(IF(ISERROR(FIND(I$2,Mail!$A21)),"",MID(Mail!$A21,FIND(I$2,Mail!$A21)+LEN(I$2)+1,IF(ISERROR(FIND("■",Mail!$A21,FIND(I$2,Mail!$A21)+LEN(I$2))-FIND(I$2,Mail!$A21)-LEN(I$2)),LEN(Mail!$A21)-60-FIND(I$2,Mail!$A21)-LEN(I$2),FIND("■",Mail!$A21,FIND(I$2,Mail!$A21)+LEN(I$2))-FIND(I$2,Mail!$A21)-LEN(I$2)-1)))))</f>
        <v/>
      </c>
      <c r="J23" s="8" t="str">
        <f>TRIM(IF(ISERROR(FIND(J$2,Mail!$A21)),"",MID(Mail!$A21,FIND(J$2,Mail!$A21)+LEN(J$2)+1,IF(ISERROR(FIND("■",Mail!$A21,FIND(J$2,Mail!$A21)+LEN(J$2))-FIND(J$2,Mail!$A21)-LEN(J$2)),LEN(Mail!$A21)-60-FIND(J$2,Mail!$A21)-LEN(J$2),FIND("■",Mail!$A21,FIND(J$2,Mail!$A21)+LEN(J$2))-FIND(J$2,Mail!$A21)-LEN(J$2)-1))))</f>
        <v/>
      </c>
      <c r="K23" s="8" t="str">
        <f>TRIM(IF(ISERROR(FIND(K$2,Mail!$A21)),"",MID(Mail!$A21,FIND(K$2,Mail!$A21)+LEN(K$2)+1,IF(ISERROR(FIND("■",Mail!$A21,FIND(K$2,Mail!$A21)+LEN(K$2))-FIND(K$2,Mail!$A21)-LEN(K$2)),LEN(Mail!$A21)-60-FIND(K$2,Mail!$A21)-LEN(K$2),FIND("■",Mail!$A21,FIND(K$2,Mail!$A21)+LEN(K$2))-FIND(K$2,Mail!$A21)-LEN(K$2)-1))))</f>
        <v/>
      </c>
      <c r="L23" s="8" t="str">
        <f>TRIM(IF(ISERROR(FIND(L$2,Mail!$A21)),"",MID(Mail!$A21,FIND(L$2,Mail!$A21)+LEN(L$2)+1,IF(ISERROR(FIND("■",Mail!$A21,FIND(L$2,Mail!$A21)+LEN(L$2))-FIND(L$2,Mail!$A21)-LEN(L$2)),LEN(Mail!$A21)-60-FIND(L$2,Mail!$A21)-LEN(L$2),FIND("■",Mail!$A21,FIND(L$2,Mail!$A21)+LEN(L$2))-FIND(L$2,Mail!$A21)-LEN(L$2)-1))))</f>
        <v/>
      </c>
      <c r="M23" s="8" t="str">
        <f>TRIM(CLEAN(IF(ISERROR(FIND(M$2,Mail!$A21)),"",MID(Mail!$A21,FIND(M$2,Mail!$A21)+LEN(M$2)+1,IF(ISERROR(FIND("■",Mail!$A21,FIND(M$2,Mail!$A21)+LEN(M$2))-FIND(M$2,Mail!$A21)-LEN(M$2)),LEN(Mail!$A21)-60-FIND(M$2,Mail!$A21)-LEN(M$2),FIND("■",Mail!$A21,FIND(M$2,Mail!$A21)+LEN(M$2))-FIND(M$2,Mail!$A21)-LEN(M$2)-1)))))</f>
        <v/>
      </c>
      <c r="N23" s="8" t="str">
        <f>TRIM(CLEAN(IF(ISERROR(FIND(N$2,Mail!$A21)),"",MID(Mail!$A21,FIND(N$2,Mail!$A21)+LEN(N$2)+1,IF(ISERROR(FIND("■",Mail!$A21,FIND(N$2,Mail!$A21)+LEN(N$2))-FIND(N$2,Mail!$A21)-LEN(N$2)),LEN(Mail!$A21)-60-FIND(N$2,Mail!$A21)-LEN(N$2),FIND("■",Mail!$A21,FIND(N$2,Mail!$A21)+LEN(N$2))-FIND(N$2,Mail!$A21)-LEN(N$2)-1)))))</f>
        <v/>
      </c>
      <c r="O23" s="8" t="str">
        <f>TRIM(CLEAN(IF(ISERROR(FIND(O$2,Mail!$A21)),"",MID(Mail!$A21,FIND(O$2,Mail!$A21)+LEN(O$2)+1,IF(ISERROR(FIND("■",Mail!$A21,FIND(O$2,Mail!$A21)+LEN(O$2))-FIND(O$2,Mail!$A21)-LEN(O$2)),LEN(Mail!$A21)-60-FIND(O$2,Mail!$A21)-LEN(O$2),FIND("■",Mail!$A21,FIND(O$2,Mail!$A21)+LEN(O$2))-FIND(O$2,Mail!$A21)-LEN(O$2)-1)))))</f>
        <v/>
      </c>
      <c r="P23" s="8" t="str">
        <f>TRIM(CLEAN(IF(ISERROR(FIND(P$2,Mail!$A21)),"",MID(Mail!$A21,FIND(P$2,Mail!$A21)+LEN(P$2)+1,IF(ISERROR(FIND("■",Mail!$A21,FIND(P$2,Mail!$A21)+LEN(P$2))-FIND(P$2,Mail!$A21)-LEN(P$2)),LEN(Mail!$A21)-60-FIND(P$2,Mail!$A21)-LEN(P$2),FIND("■",Mail!$A21,FIND(P$2,Mail!$A21)+LEN(P$2))-FIND(P$2,Mail!$A21)-LEN(P$2)-1)))))</f>
        <v/>
      </c>
      <c r="Q23" s="8" t="str">
        <f>TRIM(CLEAN(IF(ISERROR(FIND(Q$2,Mail!$A21)),"",MID(Mail!$A21,FIND(Q$2,Mail!$A21)+LEN(Q$2)+1,IF(ISERROR(FIND("■",Mail!$A21,FIND(Q$2,Mail!$A21)+LEN(Q$2))-FIND(Q$2,Mail!$A21)-LEN(Q$2)),LEN(Mail!$A21)-60-FIND(Q$2,Mail!$A21)-LEN(Q$2),FIND("■",Mail!$A21,FIND(Q$2,Mail!$A21)+LEN(Q$2))-FIND(Q$2,Mail!$A21)-LEN(Q$2)-1)))))</f>
        <v/>
      </c>
      <c r="R23" s="8" t="str">
        <f>TRIM(CLEAN(IF(ISERROR(FIND(R$2,Mail!$A21)),"",MID(Mail!$A21,FIND(R$2,Mail!$A21)+LEN(R$2)+1,IF(ISERROR(FIND("■",Mail!$A21,FIND(R$2,Mail!$A21)+LEN(R$2))-FIND(R$2,Mail!$A21)-LEN(R$2)),LEN(Mail!$A21)-60-FIND(R$2,Mail!$A21)-LEN(R$2),FIND("■",Mail!$A21,FIND(R$2,Mail!$A21)+LEN(R$2))-FIND(R$2,Mail!$A21)-LEN(R$2)-1)))))</f>
        <v/>
      </c>
      <c r="S23" s="8" t="str">
        <f>TRIM(CLEAN(IF(ISERROR(FIND(S$2,Mail!$A21)),"",MID(Mail!$A21,FIND(S$2,Mail!$A21)+LEN(S$2)+1,IF(ISERROR(FIND("■",Mail!$A21,FIND(S$2,Mail!$A21)+LEN(S$2))-FIND(S$2,Mail!$A21)-LEN(S$2)),LEN(Mail!$A21)-60-FIND(S$2,Mail!$A21)-LEN(S$2),FIND("■",Mail!$A21,FIND(S$2,Mail!$A21)+LEN(S$2))-FIND(S$2,Mail!$A21)-LEN(S$2)-1)))))</f>
        <v/>
      </c>
      <c r="T23" s="8" t="str">
        <f>TRIM(CLEAN(IF(ISERROR(FIND(T$2,Mail!$A21)),"",MID(Mail!$A21,FIND(T$2,Mail!$A21)+LEN(T$2)+1,IF(ISERROR(FIND("■",Mail!$A21,FIND(T$2,Mail!$A21)+LEN(T$2))-FIND(T$2,Mail!$A21)-LEN(T$2)),LEN(Mail!$A21)-60-FIND(T$2,Mail!$A21)-LEN(T$2),FIND("■",Mail!$A21,FIND(T$2,Mail!$A21)+LEN(T$2))-FIND(T$2,Mail!$A21)-LEN(T$2)-1)))))</f>
        <v/>
      </c>
      <c r="U23" s="8" t="str">
        <f>TRIM(CLEAN(IF(ISERROR(FIND(U$2,Mail!$A21)),"",MID(Mail!$A21,FIND(U$2,Mail!$A21)+LEN(U$2)+1,IF(ISERROR(FIND("■",Mail!$A21,FIND(U$2,Mail!$A21)+LEN(U$2))-FIND(U$2,Mail!$A21)-LEN(U$2)),LEN(Mail!$A21)-60-FIND(U$2,Mail!$A21)-LEN(U$2),FIND("■",Mail!$A21,FIND(U$2,Mail!$A21)+LEN(U$2))-FIND(U$2,Mail!$A21)-LEN(U$2)-1)))))</f>
        <v/>
      </c>
      <c r="V23" s="8" t="str">
        <f>TRIM(CLEAN(IF(ISERROR(FIND(V$2,Mail!$A21)),"",MID(Mail!$A21,FIND(V$2,Mail!$A21)+LEN(V$2)+1,IF(ISERROR(FIND("■",Mail!$A21,FIND(V$2,Mail!$A21)+LEN(V$2))-FIND(V$2,Mail!$A21)-LEN(V$2)),LEN(Mail!$A21)-60-FIND(V$2,Mail!$A21)-LEN(V$2),FIND("■",Mail!$A21,FIND(V$2,Mail!$A21)+LEN(V$2))-FIND(V$2,Mail!$A21)-LEN(V$2)-1)))))</f>
        <v/>
      </c>
      <c r="W23" s="8" t="str">
        <f>TRIM(CLEAN(IF(ISERROR(FIND(W$2,Mail!$A21)),"",MID(Mail!$A21,FIND(W$2,Mail!$A21)+LEN(W$2)+1,IF(ISERROR(FIND("■",Mail!$A21,FIND(W$2,Mail!$A21)+LEN(W$2))-FIND(W$2,Mail!$A21)-LEN(W$2)),LEN(Mail!$A21)-60-FIND(W$2,Mail!$A21)-LEN(W$2),FIND("■",Mail!$A21,FIND(W$2,Mail!$A21)+LEN(W$2))-FIND(W$2,Mail!$A21)-LEN(W$2)-1)))))</f>
        <v/>
      </c>
      <c r="X23" s="8" t="str">
        <f>TRIM(IF(ISERROR(FIND(X$2,Mail!$A21)),"",MID(Mail!$A21,FIND(X$2,Mail!$A21)+LEN(X$2)+1,IF(ISERROR(FIND("■",Mail!$A21,FIND(X$2,Mail!$A21)+LEN(X$2))-FIND(X$2,Mail!$A21)-LEN(X$2)),LEN(Mail!$A21)-60-FIND(X$2,Mail!$A21)-LEN(X$2),FIND("■",Mail!$A21,FIND(X$2,Mail!$A21)+LEN(X$2))-FIND(X$2,Mail!$A21)-LEN(X$2)-1))))</f>
        <v/>
      </c>
      <c r="Y23" s="8" t="str">
        <f>TRIM(CLEAN(IF(ISERROR(FIND(Y$2,Mail!$A21)),"",MID(Mail!$A21,FIND(Y$2,Mail!$A21)+LEN(Y$2)+1,IF(ISERROR(FIND("■",Mail!$A21,FIND(Y$2,Mail!$A21)+LEN(Y$2))-FIND(Y$2,Mail!$A21)-LEN(Y$2)),LEN(Mail!$A21)-60-FIND(Y$2,Mail!$A21)-LEN(Y$2),FIND("■",Mail!$A21,FIND(Y$2,Mail!$A21)+LEN(Y$2))-FIND(Y$2,Mail!$A21)-LEN(Y$2)-1)))))</f>
        <v/>
      </c>
      <c r="Z23" s="8" t="str">
        <f>TRIM(CLEAN(IF(ISERROR(FIND(Z$2,Mail!$A21)),"",MID(Mail!$A21,FIND(Z$2,Mail!$A21)+LEN(Z$2)+1,IF(ISERROR(FIND("■",Mail!$A21,FIND(Z$2,Mail!$A21)+LEN(Z$2))-FIND(Z$2,Mail!$A21)-LEN(Z$2)),LEN(Mail!$A21)-60-FIND(Z$2,Mail!$A21)-LEN(Z$2),FIND("■",Mail!$A21,FIND(Z$2,Mail!$A21)+LEN(Z$2))-FIND(Z$2,Mail!$A21)-LEN(Z$2)-1)))))</f>
        <v/>
      </c>
      <c r="AA23" s="8" t="str">
        <f>TRIM(CLEAN(IF(ISERROR(FIND(AA$2,Mail!$A21)),"",MID(Mail!$A21,FIND(AA$2,Mail!$A21)+LEN(AA$2)+1,IF(ISERROR(FIND("■",Mail!$A21,FIND(AA$2,Mail!$A21)+LEN(AA$2))-FIND(AA$2,Mail!$A21)-LEN(AA$2)),LEN(Mail!$A21)-60-FIND(AA$2,Mail!$A21)-LEN(AA$2),FIND("■",Mail!$A21,FIND(AA$2,Mail!$A21)+LEN(AA$2))-FIND(AA$2,Mail!$A21)-LEN(AA$2)-1)))))</f>
        <v/>
      </c>
      <c r="AB23" s="8" t="str">
        <f>TRIM(CLEAN(IF(ISERROR(FIND(AB$2,Mail!$A21)),"",MID(Mail!$A21,FIND(AB$2,Mail!$A21)+LEN(AB$2)+1,IF(ISERROR(FIND("■",Mail!$A21,FIND(AB$2,Mail!$A21)+LEN(AB$2))-FIND(AB$2,Mail!$A21)-LEN(AB$2)),LEN(Mail!$A21)-60-FIND(AB$2,Mail!$A21)-LEN(AB$2),FIND("■",Mail!$A21,FIND(AB$2,Mail!$A21)+LEN(AB$2))-FIND(AB$2,Mail!$A21)-LEN(AB$2)-1)))))</f>
        <v/>
      </c>
      <c r="AC23" s="8" t="str">
        <f>TRIM(CLEAN(IF(ISERROR(FIND(AC$2,Mail!$A21)),"",MID(Mail!$A21,FIND(AC$2,Mail!$A21)+LEN(AC$2)+1,IF(ISERROR(FIND("■",Mail!$A21,FIND(AC$2,Mail!$A21)+LEN(AC$2))-FIND(AC$2,Mail!$A21)-LEN(AC$2)),LEN(Mail!$A21)-60-FIND(AC$2,Mail!$A21)-LEN(AC$2),FIND("■",Mail!$A21,FIND(AC$2,Mail!$A21)+LEN(AC$2))-FIND(AC$2,Mail!$A21)-LEN(AC$2)-1)))))</f>
        <v/>
      </c>
      <c r="AD23" s="8" t="str">
        <f>TRIM(CLEAN(IF(ISERROR(FIND(AD$2,Mail!$A21)),"",MID(Mail!$A21,FIND(AD$2,Mail!$A21)+LEN(AD$2)+1,IF(ISERROR(FIND("■",Mail!$A21,FIND(AD$2,Mail!$A21)+LEN(AD$2))-FIND(AD$2,Mail!$A21)-LEN(AD$2)),LEN(Mail!$A21)-60-FIND(AD$2,Mail!$A21)-LEN(AD$2),FIND("■",Mail!$A21,FIND(AD$2,Mail!$A21)+LEN(AD$2))-FIND(AD$2,Mail!$A21)-LEN(AD$2)-1)))))</f>
        <v/>
      </c>
      <c r="AE23" s="8" t="str">
        <f>TRIM(CLEAN(IF(ISERROR(FIND(AE$2,Mail!$A21)),"",MID(Mail!$A21,FIND(AE$2,Mail!$A21)+LEN(AE$2)+1,IF(ISERROR(FIND("■",Mail!$A21,FIND(AE$2,Mail!$A21)+LEN(AE$2))-FIND(AE$2,Mail!$A21)-LEN(AE$2)),LEN(Mail!$A21)-60-FIND(AE$2,Mail!$A21)-LEN(AE$2),FIND("■",Mail!$A21,FIND(AE$2,Mail!$A21)+LEN(AE$2))-FIND(AE$2,Mail!$A21)-LEN(AE$2)-1)))))</f>
        <v/>
      </c>
      <c r="AF23" s="8" t="str">
        <f>TRIM(CLEAN(IF(ISERROR(FIND(AF$2,Mail!$A21)),"",MID(Mail!$A21,FIND(AF$2,Mail!$A21)+LEN(AF$2)+1,IF(ISERROR(FIND("■",Mail!$A21,FIND(AF$2,Mail!$A21)+LEN(AF$2))-FIND(AF$2,Mail!$A21)-LEN(AF$2)),LEN(Mail!$A21)-60-FIND(AF$2,Mail!$A21)-LEN(AF$2),FIND("■",Mail!$A21,FIND(AF$2,Mail!$A21)+LEN(AF$2))-FIND(AF$2,Mail!$A21)-LEN(AF$2)-1)))))</f>
        <v/>
      </c>
      <c r="AG23" s="8" t="str">
        <f>TRIM(IF(ISERROR(FIND(AG$2,Mail!$A21)),"",MID(Mail!$A21,FIND(AG$2,Mail!$A21)+LEN(AG$2)+1,IF(ISERROR(FIND("■",Mail!$A21,FIND(AG$2,Mail!$A21)+LEN(AG$2))-FIND(AG$2,Mail!$A21)-LEN(AG$2)),LEN(Mail!$A21)-60-FIND(AG$2,Mail!$A21)-LEN(AG$2),FIND("■",Mail!$A21,FIND(AG$2,Mail!$A21)+LEN(AG$2))-FIND(AG$2,Mail!$A21)-LEN(AG$2)-1))))</f>
        <v/>
      </c>
      <c r="AH23" s="8" t="str">
        <f>TRIM(IF(ISERROR(FIND(AH$2,Mail!$A21)),"",MID(Mail!$A21,FIND(AH$2,Mail!$A21)+LEN(AH$2)+1,IF(ISERROR(FIND("■",Mail!$A21,FIND(AH$2,Mail!$A21)+LEN(AH$2))-FIND(AH$2,Mail!$A21)-LEN(AH$2)),LEN(Mail!$A21)-60-FIND(AH$2,Mail!$A21)-LEN(AH$2),FIND("■",Mail!$A21,FIND(AH$2,Mail!$A21)+LEN(AH$2))-FIND(AH$2,Mail!$A21)-LEN(AH$2)-1))))</f>
        <v/>
      </c>
      <c r="AI23" s="8" t="str">
        <f>TRIM(IF(ISERROR(FIND(AI$2,Mail!$A21)),"",MID(Mail!$A21,FIND(AI$2,Mail!$A21)+LEN(AI$2)+1,IF(ISERROR(FIND("■",Mail!$A21,FIND(AI$2,Mail!$A21)+LEN(AI$2))-FIND(AI$2,Mail!$A21)-LEN(AI$2)),LEN(Mail!$A21)-60-FIND(AI$2,Mail!$A21)-LEN(AI$2),FIND("■",Mail!$A21,FIND(AI$2,Mail!$A21)+LEN(AI$2))-FIND(AI$2,Mail!$A21)-LEN(AI$2)-1))))</f>
        <v/>
      </c>
    </row>
    <row r="24" spans="1:35" s="8" customFormat="1" x14ac:dyDescent="0.15">
      <c r="A24" s="9" t="str">
        <f t="shared" si="1"/>
        <v/>
      </c>
      <c r="B24" s="8" t="str">
        <f>CLEAN(SUBSTITUTE(IF(ISERROR(FIND("yokohama",Mail!$A22)),"",MID(Mail!$A22,FIND("yokohama",Mail!$A22)+LEN("yokohama")+1,FIND("件目",Mail!$A22,FIND("yokohama",Mail!$A22))-(FIND("yokohama",Mail!$A22)+LEN("yokohama")+1)))," ",""))</f>
        <v/>
      </c>
      <c r="C24" s="9" t="str">
        <f t="shared" si="0"/>
        <v/>
      </c>
      <c r="D24" s="9" t="str">
        <f t="shared" si="2"/>
        <v/>
      </c>
      <c r="E24" s="8" t="str">
        <f t="shared" si="3"/>
        <v/>
      </c>
      <c r="F24" s="8" t="str">
        <f>TRIM(CLEAN(IF(ISERROR(FIND(F$2,Mail!$A22)),"",MID(Mail!$A22,FIND(F$2,Mail!$A22)+LEN(F$2)+1,IF(ISERROR(FIND("■",Mail!$A22,FIND(F$2,Mail!$A22)+LEN(F$2))-FIND(F$2,Mail!$A22)-LEN(F$2)),LEN(Mail!$A22)-60-FIND(F$2,Mail!$A22)-LEN(F$2),FIND("■",Mail!$A22,FIND(F$2,Mail!$A22)+LEN(F$2))-FIND(F$2,Mail!$A22)-LEN(F$2)-1)))))</f>
        <v/>
      </c>
      <c r="G24" s="8" t="str">
        <f>TRIM(CLEAN(IF(ISERROR(FIND(G$2,Mail!$A22)),"",MID(Mail!$A22,FIND(G$2,Mail!$A22)+LEN(G$2)+1,IF(ISERROR(FIND("■",Mail!$A22,FIND(G$2,Mail!$A22)+LEN(G$2))-FIND(G$2,Mail!$A22)-LEN(G$2)),LEN(Mail!$A22)-60-FIND(G$2,Mail!$A22)-LEN(G$2),FIND("■",Mail!$A22,FIND(G$2,Mail!$A22)+LEN(G$2))-FIND(G$2,Mail!$A22)-LEN(G$2)-1)))))</f>
        <v/>
      </c>
      <c r="H24" s="8" t="str">
        <f>TRIM(CLEAN(IF(ISERROR(FIND(H$2,Mail!$A22)),"",MID(Mail!$A22,FIND(H$2,Mail!$A22)+LEN(H$2)+1,IF(ISERROR(FIND("■",Mail!$A22,FIND(H$2,Mail!$A22)+LEN(H$2))-FIND(H$2,Mail!$A22)-LEN(H$2)),LEN(Mail!$A22)-60-FIND(H$2,Mail!$A22)-LEN(H$2),FIND("■",Mail!$A22,FIND(H$2,Mail!$A22)+LEN(H$2))-FIND(H$2,Mail!$A22)-LEN(H$2)-1)))))</f>
        <v/>
      </c>
      <c r="I24" s="8" t="str">
        <f>TRIM(CLEAN(IF(ISERROR(FIND(I$2,Mail!$A22)),"",MID(Mail!$A22,FIND(I$2,Mail!$A22)+LEN(I$2)+1,IF(ISERROR(FIND("■",Mail!$A22,FIND(I$2,Mail!$A22)+LEN(I$2))-FIND(I$2,Mail!$A22)-LEN(I$2)),LEN(Mail!$A22)-60-FIND(I$2,Mail!$A22)-LEN(I$2),FIND("■",Mail!$A22,FIND(I$2,Mail!$A22)+LEN(I$2))-FIND(I$2,Mail!$A22)-LEN(I$2)-1)))))</f>
        <v/>
      </c>
      <c r="J24" s="8" t="str">
        <f>TRIM(IF(ISERROR(FIND(J$2,Mail!$A22)),"",MID(Mail!$A22,FIND(J$2,Mail!$A22)+LEN(J$2)+1,IF(ISERROR(FIND("■",Mail!$A22,FIND(J$2,Mail!$A22)+LEN(J$2))-FIND(J$2,Mail!$A22)-LEN(J$2)),LEN(Mail!$A22)-60-FIND(J$2,Mail!$A22)-LEN(J$2),FIND("■",Mail!$A22,FIND(J$2,Mail!$A22)+LEN(J$2))-FIND(J$2,Mail!$A22)-LEN(J$2)-1))))</f>
        <v/>
      </c>
      <c r="K24" s="8" t="str">
        <f>TRIM(IF(ISERROR(FIND(K$2,Mail!$A22)),"",MID(Mail!$A22,FIND(K$2,Mail!$A22)+LEN(K$2)+1,IF(ISERROR(FIND("■",Mail!$A22,FIND(K$2,Mail!$A22)+LEN(K$2))-FIND(K$2,Mail!$A22)-LEN(K$2)),LEN(Mail!$A22)-60-FIND(K$2,Mail!$A22)-LEN(K$2),FIND("■",Mail!$A22,FIND(K$2,Mail!$A22)+LEN(K$2))-FIND(K$2,Mail!$A22)-LEN(K$2)-1))))</f>
        <v/>
      </c>
      <c r="L24" s="8" t="str">
        <f>TRIM(IF(ISERROR(FIND(L$2,Mail!$A22)),"",MID(Mail!$A22,FIND(L$2,Mail!$A22)+LEN(L$2)+1,IF(ISERROR(FIND("■",Mail!$A22,FIND(L$2,Mail!$A22)+LEN(L$2))-FIND(L$2,Mail!$A22)-LEN(L$2)),LEN(Mail!$A22)-60-FIND(L$2,Mail!$A22)-LEN(L$2),FIND("■",Mail!$A22,FIND(L$2,Mail!$A22)+LEN(L$2))-FIND(L$2,Mail!$A22)-LEN(L$2)-1))))</f>
        <v/>
      </c>
      <c r="M24" s="8" t="str">
        <f>TRIM(CLEAN(IF(ISERROR(FIND(M$2,Mail!$A22)),"",MID(Mail!$A22,FIND(M$2,Mail!$A22)+LEN(M$2)+1,IF(ISERROR(FIND("■",Mail!$A22,FIND(M$2,Mail!$A22)+LEN(M$2))-FIND(M$2,Mail!$A22)-LEN(M$2)),LEN(Mail!$A22)-60-FIND(M$2,Mail!$A22)-LEN(M$2),FIND("■",Mail!$A22,FIND(M$2,Mail!$A22)+LEN(M$2))-FIND(M$2,Mail!$A22)-LEN(M$2)-1)))))</f>
        <v/>
      </c>
      <c r="N24" s="8" t="str">
        <f>TRIM(CLEAN(IF(ISERROR(FIND(N$2,Mail!$A22)),"",MID(Mail!$A22,FIND(N$2,Mail!$A22)+LEN(N$2)+1,IF(ISERROR(FIND("■",Mail!$A22,FIND(N$2,Mail!$A22)+LEN(N$2))-FIND(N$2,Mail!$A22)-LEN(N$2)),LEN(Mail!$A22)-60-FIND(N$2,Mail!$A22)-LEN(N$2),FIND("■",Mail!$A22,FIND(N$2,Mail!$A22)+LEN(N$2))-FIND(N$2,Mail!$A22)-LEN(N$2)-1)))))</f>
        <v/>
      </c>
      <c r="O24" s="8" t="str">
        <f>TRIM(CLEAN(IF(ISERROR(FIND(O$2,Mail!$A22)),"",MID(Mail!$A22,FIND(O$2,Mail!$A22)+LEN(O$2)+1,IF(ISERROR(FIND("■",Mail!$A22,FIND(O$2,Mail!$A22)+LEN(O$2))-FIND(O$2,Mail!$A22)-LEN(O$2)),LEN(Mail!$A22)-60-FIND(O$2,Mail!$A22)-LEN(O$2),FIND("■",Mail!$A22,FIND(O$2,Mail!$A22)+LEN(O$2))-FIND(O$2,Mail!$A22)-LEN(O$2)-1)))))</f>
        <v/>
      </c>
      <c r="P24" s="8" t="str">
        <f>TRIM(CLEAN(IF(ISERROR(FIND(P$2,Mail!$A22)),"",MID(Mail!$A22,FIND(P$2,Mail!$A22)+LEN(P$2)+1,IF(ISERROR(FIND("■",Mail!$A22,FIND(P$2,Mail!$A22)+LEN(P$2))-FIND(P$2,Mail!$A22)-LEN(P$2)),LEN(Mail!$A22)-60-FIND(P$2,Mail!$A22)-LEN(P$2),FIND("■",Mail!$A22,FIND(P$2,Mail!$A22)+LEN(P$2))-FIND(P$2,Mail!$A22)-LEN(P$2)-1)))))</f>
        <v/>
      </c>
      <c r="Q24" s="8" t="str">
        <f>TRIM(CLEAN(IF(ISERROR(FIND(Q$2,Mail!$A22)),"",MID(Mail!$A22,FIND(Q$2,Mail!$A22)+LEN(Q$2)+1,IF(ISERROR(FIND("■",Mail!$A22,FIND(Q$2,Mail!$A22)+LEN(Q$2))-FIND(Q$2,Mail!$A22)-LEN(Q$2)),LEN(Mail!$A22)-60-FIND(Q$2,Mail!$A22)-LEN(Q$2),FIND("■",Mail!$A22,FIND(Q$2,Mail!$A22)+LEN(Q$2))-FIND(Q$2,Mail!$A22)-LEN(Q$2)-1)))))</f>
        <v/>
      </c>
      <c r="R24" s="8" t="str">
        <f>TRIM(CLEAN(IF(ISERROR(FIND(R$2,Mail!$A22)),"",MID(Mail!$A22,FIND(R$2,Mail!$A22)+LEN(R$2)+1,IF(ISERROR(FIND("■",Mail!$A22,FIND(R$2,Mail!$A22)+LEN(R$2))-FIND(R$2,Mail!$A22)-LEN(R$2)),LEN(Mail!$A22)-60-FIND(R$2,Mail!$A22)-LEN(R$2),FIND("■",Mail!$A22,FIND(R$2,Mail!$A22)+LEN(R$2))-FIND(R$2,Mail!$A22)-LEN(R$2)-1)))))</f>
        <v/>
      </c>
      <c r="S24" s="8" t="str">
        <f>TRIM(CLEAN(IF(ISERROR(FIND(S$2,Mail!$A22)),"",MID(Mail!$A22,FIND(S$2,Mail!$A22)+LEN(S$2)+1,IF(ISERROR(FIND("■",Mail!$A22,FIND(S$2,Mail!$A22)+LEN(S$2))-FIND(S$2,Mail!$A22)-LEN(S$2)),LEN(Mail!$A22)-60-FIND(S$2,Mail!$A22)-LEN(S$2),FIND("■",Mail!$A22,FIND(S$2,Mail!$A22)+LEN(S$2))-FIND(S$2,Mail!$A22)-LEN(S$2)-1)))))</f>
        <v/>
      </c>
      <c r="T24" s="8" t="str">
        <f>TRIM(CLEAN(IF(ISERROR(FIND(T$2,Mail!$A22)),"",MID(Mail!$A22,FIND(T$2,Mail!$A22)+LEN(T$2)+1,IF(ISERROR(FIND("■",Mail!$A22,FIND(T$2,Mail!$A22)+LEN(T$2))-FIND(T$2,Mail!$A22)-LEN(T$2)),LEN(Mail!$A22)-60-FIND(T$2,Mail!$A22)-LEN(T$2),FIND("■",Mail!$A22,FIND(T$2,Mail!$A22)+LEN(T$2))-FIND(T$2,Mail!$A22)-LEN(T$2)-1)))))</f>
        <v/>
      </c>
      <c r="U24" s="8" t="str">
        <f>TRIM(CLEAN(IF(ISERROR(FIND(U$2,Mail!$A22)),"",MID(Mail!$A22,FIND(U$2,Mail!$A22)+LEN(U$2)+1,IF(ISERROR(FIND("■",Mail!$A22,FIND(U$2,Mail!$A22)+LEN(U$2))-FIND(U$2,Mail!$A22)-LEN(U$2)),LEN(Mail!$A22)-60-FIND(U$2,Mail!$A22)-LEN(U$2),FIND("■",Mail!$A22,FIND(U$2,Mail!$A22)+LEN(U$2))-FIND(U$2,Mail!$A22)-LEN(U$2)-1)))))</f>
        <v/>
      </c>
      <c r="V24" s="8" t="str">
        <f>TRIM(CLEAN(IF(ISERROR(FIND(V$2,Mail!$A22)),"",MID(Mail!$A22,FIND(V$2,Mail!$A22)+LEN(V$2)+1,IF(ISERROR(FIND("■",Mail!$A22,FIND(V$2,Mail!$A22)+LEN(V$2))-FIND(V$2,Mail!$A22)-LEN(V$2)),LEN(Mail!$A22)-60-FIND(V$2,Mail!$A22)-LEN(V$2),FIND("■",Mail!$A22,FIND(V$2,Mail!$A22)+LEN(V$2))-FIND(V$2,Mail!$A22)-LEN(V$2)-1)))))</f>
        <v/>
      </c>
      <c r="W24" s="8" t="str">
        <f>TRIM(CLEAN(IF(ISERROR(FIND(W$2,Mail!$A22)),"",MID(Mail!$A22,FIND(W$2,Mail!$A22)+LEN(W$2)+1,IF(ISERROR(FIND("■",Mail!$A22,FIND(W$2,Mail!$A22)+LEN(W$2))-FIND(W$2,Mail!$A22)-LEN(W$2)),LEN(Mail!$A22)-60-FIND(W$2,Mail!$A22)-LEN(W$2),FIND("■",Mail!$A22,FIND(W$2,Mail!$A22)+LEN(W$2))-FIND(W$2,Mail!$A22)-LEN(W$2)-1)))))</f>
        <v/>
      </c>
      <c r="X24" s="8" t="str">
        <f>TRIM(IF(ISERROR(FIND(X$2,Mail!$A22)),"",MID(Mail!$A22,FIND(X$2,Mail!$A22)+LEN(X$2)+1,IF(ISERROR(FIND("■",Mail!$A22,FIND(X$2,Mail!$A22)+LEN(X$2))-FIND(X$2,Mail!$A22)-LEN(X$2)),LEN(Mail!$A22)-60-FIND(X$2,Mail!$A22)-LEN(X$2),FIND("■",Mail!$A22,FIND(X$2,Mail!$A22)+LEN(X$2))-FIND(X$2,Mail!$A22)-LEN(X$2)-1))))</f>
        <v/>
      </c>
      <c r="Y24" s="8" t="str">
        <f>TRIM(CLEAN(IF(ISERROR(FIND(Y$2,Mail!$A22)),"",MID(Mail!$A22,FIND(Y$2,Mail!$A22)+LEN(Y$2)+1,IF(ISERROR(FIND("■",Mail!$A22,FIND(Y$2,Mail!$A22)+LEN(Y$2))-FIND(Y$2,Mail!$A22)-LEN(Y$2)),LEN(Mail!$A22)-60-FIND(Y$2,Mail!$A22)-LEN(Y$2),FIND("■",Mail!$A22,FIND(Y$2,Mail!$A22)+LEN(Y$2))-FIND(Y$2,Mail!$A22)-LEN(Y$2)-1)))))</f>
        <v/>
      </c>
      <c r="Z24" s="8" t="str">
        <f>TRIM(CLEAN(IF(ISERROR(FIND(Z$2,Mail!$A22)),"",MID(Mail!$A22,FIND(Z$2,Mail!$A22)+LEN(Z$2)+1,IF(ISERROR(FIND("■",Mail!$A22,FIND(Z$2,Mail!$A22)+LEN(Z$2))-FIND(Z$2,Mail!$A22)-LEN(Z$2)),LEN(Mail!$A22)-60-FIND(Z$2,Mail!$A22)-LEN(Z$2),FIND("■",Mail!$A22,FIND(Z$2,Mail!$A22)+LEN(Z$2))-FIND(Z$2,Mail!$A22)-LEN(Z$2)-1)))))</f>
        <v/>
      </c>
      <c r="AA24" s="8" t="str">
        <f>TRIM(CLEAN(IF(ISERROR(FIND(AA$2,Mail!$A22)),"",MID(Mail!$A22,FIND(AA$2,Mail!$A22)+LEN(AA$2)+1,IF(ISERROR(FIND("■",Mail!$A22,FIND(AA$2,Mail!$A22)+LEN(AA$2))-FIND(AA$2,Mail!$A22)-LEN(AA$2)),LEN(Mail!$A22)-60-FIND(AA$2,Mail!$A22)-LEN(AA$2),FIND("■",Mail!$A22,FIND(AA$2,Mail!$A22)+LEN(AA$2))-FIND(AA$2,Mail!$A22)-LEN(AA$2)-1)))))</f>
        <v/>
      </c>
      <c r="AB24" s="8" t="str">
        <f>TRIM(CLEAN(IF(ISERROR(FIND(AB$2,Mail!$A22)),"",MID(Mail!$A22,FIND(AB$2,Mail!$A22)+LEN(AB$2)+1,IF(ISERROR(FIND("■",Mail!$A22,FIND(AB$2,Mail!$A22)+LEN(AB$2))-FIND(AB$2,Mail!$A22)-LEN(AB$2)),LEN(Mail!$A22)-60-FIND(AB$2,Mail!$A22)-LEN(AB$2),FIND("■",Mail!$A22,FIND(AB$2,Mail!$A22)+LEN(AB$2))-FIND(AB$2,Mail!$A22)-LEN(AB$2)-1)))))</f>
        <v/>
      </c>
      <c r="AC24" s="8" t="str">
        <f>TRIM(CLEAN(IF(ISERROR(FIND(AC$2,Mail!$A22)),"",MID(Mail!$A22,FIND(AC$2,Mail!$A22)+LEN(AC$2)+1,IF(ISERROR(FIND("■",Mail!$A22,FIND(AC$2,Mail!$A22)+LEN(AC$2))-FIND(AC$2,Mail!$A22)-LEN(AC$2)),LEN(Mail!$A22)-60-FIND(AC$2,Mail!$A22)-LEN(AC$2),FIND("■",Mail!$A22,FIND(AC$2,Mail!$A22)+LEN(AC$2))-FIND(AC$2,Mail!$A22)-LEN(AC$2)-1)))))</f>
        <v/>
      </c>
      <c r="AD24" s="8" t="str">
        <f>TRIM(CLEAN(IF(ISERROR(FIND(AD$2,Mail!$A22)),"",MID(Mail!$A22,FIND(AD$2,Mail!$A22)+LEN(AD$2)+1,IF(ISERROR(FIND("■",Mail!$A22,FIND(AD$2,Mail!$A22)+LEN(AD$2))-FIND(AD$2,Mail!$A22)-LEN(AD$2)),LEN(Mail!$A22)-60-FIND(AD$2,Mail!$A22)-LEN(AD$2),FIND("■",Mail!$A22,FIND(AD$2,Mail!$A22)+LEN(AD$2))-FIND(AD$2,Mail!$A22)-LEN(AD$2)-1)))))</f>
        <v/>
      </c>
      <c r="AE24" s="8" t="str">
        <f>TRIM(CLEAN(IF(ISERROR(FIND(AE$2,Mail!$A22)),"",MID(Mail!$A22,FIND(AE$2,Mail!$A22)+LEN(AE$2)+1,IF(ISERROR(FIND("■",Mail!$A22,FIND(AE$2,Mail!$A22)+LEN(AE$2))-FIND(AE$2,Mail!$A22)-LEN(AE$2)),LEN(Mail!$A22)-60-FIND(AE$2,Mail!$A22)-LEN(AE$2),FIND("■",Mail!$A22,FIND(AE$2,Mail!$A22)+LEN(AE$2))-FIND(AE$2,Mail!$A22)-LEN(AE$2)-1)))))</f>
        <v/>
      </c>
      <c r="AF24" s="8" t="str">
        <f>TRIM(CLEAN(IF(ISERROR(FIND(AF$2,Mail!$A22)),"",MID(Mail!$A22,FIND(AF$2,Mail!$A22)+LEN(AF$2)+1,IF(ISERROR(FIND("■",Mail!$A22,FIND(AF$2,Mail!$A22)+LEN(AF$2))-FIND(AF$2,Mail!$A22)-LEN(AF$2)),LEN(Mail!$A22)-60-FIND(AF$2,Mail!$A22)-LEN(AF$2),FIND("■",Mail!$A22,FIND(AF$2,Mail!$A22)+LEN(AF$2))-FIND(AF$2,Mail!$A22)-LEN(AF$2)-1)))))</f>
        <v/>
      </c>
      <c r="AG24" s="8" t="str">
        <f>TRIM(IF(ISERROR(FIND(AG$2,Mail!$A22)),"",MID(Mail!$A22,FIND(AG$2,Mail!$A22)+LEN(AG$2)+1,IF(ISERROR(FIND("■",Mail!$A22,FIND(AG$2,Mail!$A22)+LEN(AG$2))-FIND(AG$2,Mail!$A22)-LEN(AG$2)),LEN(Mail!$A22)-60-FIND(AG$2,Mail!$A22)-LEN(AG$2),FIND("■",Mail!$A22,FIND(AG$2,Mail!$A22)+LEN(AG$2))-FIND(AG$2,Mail!$A22)-LEN(AG$2)-1))))</f>
        <v/>
      </c>
      <c r="AH24" s="8" t="str">
        <f>TRIM(IF(ISERROR(FIND(AH$2,Mail!$A22)),"",MID(Mail!$A22,FIND(AH$2,Mail!$A22)+LEN(AH$2)+1,IF(ISERROR(FIND("■",Mail!$A22,FIND(AH$2,Mail!$A22)+LEN(AH$2))-FIND(AH$2,Mail!$A22)-LEN(AH$2)),LEN(Mail!$A22)-60-FIND(AH$2,Mail!$A22)-LEN(AH$2),FIND("■",Mail!$A22,FIND(AH$2,Mail!$A22)+LEN(AH$2))-FIND(AH$2,Mail!$A22)-LEN(AH$2)-1))))</f>
        <v/>
      </c>
      <c r="AI24" s="8" t="str">
        <f>TRIM(IF(ISERROR(FIND(AI$2,Mail!$A22)),"",MID(Mail!$A22,FIND(AI$2,Mail!$A22)+LEN(AI$2)+1,IF(ISERROR(FIND("■",Mail!$A22,FIND(AI$2,Mail!$A22)+LEN(AI$2))-FIND(AI$2,Mail!$A22)-LEN(AI$2)),LEN(Mail!$A22)-60-FIND(AI$2,Mail!$A22)-LEN(AI$2),FIND("■",Mail!$A22,FIND(AI$2,Mail!$A22)+LEN(AI$2))-FIND(AI$2,Mail!$A22)-LEN(AI$2)-1))))</f>
        <v/>
      </c>
    </row>
    <row r="25" spans="1:35" s="8" customFormat="1" x14ac:dyDescent="0.15">
      <c r="A25" s="9" t="str">
        <f t="shared" si="1"/>
        <v/>
      </c>
      <c r="B25" s="8" t="str">
        <f>CLEAN(SUBSTITUTE(IF(ISERROR(FIND("yokohama",Mail!$A23)),"",MID(Mail!$A23,FIND("yokohama",Mail!$A23)+LEN("yokohama")+1,FIND("件目",Mail!$A23,FIND("yokohama",Mail!$A23))-(FIND("yokohama",Mail!$A23)+LEN("yokohama")+1)))," ",""))</f>
        <v/>
      </c>
      <c r="C25" s="9" t="str">
        <f t="shared" si="0"/>
        <v/>
      </c>
      <c r="D25" s="9" t="str">
        <f t="shared" si="2"/>
        <v/>
      </c>
      <c r="E25" s="8" t="str">
        <f t="shared" si="3"/>
        <v/>
      </c>
      <c r="F25" s="8" t="str">
        <f>TRIM(CLEAN(IF(ISERROR(FIND(F$2,Mail!$A23)),"",MID(Mail!$A23,FIND(F$2,Mail!$A23)+LEN(F$2)+1,IF(ISERROR(FIND("■",Mail!$A23,FIND(F$2,Mail!$A23)+LEN(F$2))-FIND(F$2,Mail!$A23)-LEN(F$2)),LEN(Mail!$A23)-60-FIND(F$2,Mail!$A23)-LEN(F$2),FIND("■",Mail!$A23,FIND(F$2,Mail!$A23)+LEN(F$2))-FIND(F$2,Mail!$A23)-LEN(F$2)-1)))))</f>
        <v/>
      </c>
      <c r="G25" s="8" t="str">
        <f>TRIM(CLEAN(IF(ISERROR(FIND(G$2,Mail!$A23)),"",MID(Mail!$A23,FIND(G$2,Mail!$A23)+LEN(G$2)+1,IF(ISERROR(FIND("■",Mail!$A23,FIND(G$2,Mail!$A23)+LEN(G$2))-FIND(G$2,Mail!$A23)-LEN(G$2)),LEN(Mail!$A23)-60-FIND(G$2,Mail!$A23)-LEN(G$2),FIND("■",Mail!$A23,FIND(G$2,Mail!$A23)+LEN(G$2))-FIND(G$2,Mail!$A23)-LEN(G$2)-1)))))</f>
        <v/>
      </c>
      <c r="H25" s="8" t="str">
        <f>TRIM(CLEAN(IF(ISERROR(FIND(H$2,Mail!$A23)),"",MID(Mail!$A23,FIND(H$2,Mail!$A23)+LEN(H$2)+1,IF(ISERROR(FIND("■",Mail!$A23,FIND(H$2,Mail!$A23)+LEN(H$2))-FIND(H$2,Mail!$A23)-LEN(H$2)),LEN(Mail!$A23)-60-FIND(H$2,Mail!$A23)-LEN(H$2),FIND("■",Mail!$A23,FIND(H$2,Mail!$A23)+LEN(H$2))-FIND(H$2,Mail!$A23)-LEN(H$2)-1)))))</f>
        <v/>
      </c>
      <c r="I25" s="8" t="str">
        <f>TRIM(CLEAN(IF(ISERROR(FIND(I$2,Mail!$A23)),"",MID(Mail!$A23,FIND(I$2,Mail!$A23)+LEN(I$2)+1,IF(ISERROR(FIND("■",Mail!$A23,FIND(I$2,Mail!$A23)+LEN(I$2))-FIND(I$2,Mail!$A23)-LEN(I$2)),LEN(Mail!$A23)-60-FIND(I$2,Mail!$A23)-LEN(I$2),FIND("■",Mail!$A23,FIND(I$2,Mail!$A23)+LEN(I$2))-FIND(I$2,Mail!$A23)-LEN(I$2)-1)))))</f>
        <v/>
      </c>
      <c r="J25" s="8" t="str">
        <f>TRIM(IF(ISERROR(FIND(J$2,Mail!$A23)),"",MID(Mail!$A23,FIND(J$2,Mail!$A23)+LEN(J$2)+1,IF(ISERROR(FIND("■",Mail!$A23,FIND(J$2,Mail!$A23)+LEN(J$2))-FIND(J$2,Mail!$A23)-LEN(J$2)),LEN(Mail!$A23)-60-FIND(J$2,Mail!$A23)-LEN(J$2),FIND("■",Mail!$A23,FIND(J$2,Mail!$A23)+LEN(J$2))-FIND(J$2,Mail!$A23)-LEN(J$2)-1))))</f>
        <v/>
      </c>
      <c r="K25" s="8" t="str">
        <f>TRIM(IF(ISERROR(FIND(K$2,Mail!$A23)),"",MID(Mail!$A23,FIND(K$2,Mail!$A23)+LEN(K$2)+1,IF(ISERROR(FIND("■",Mail!$A23,FIND(K$2,Mail!$A23)+LEN(K$2))-FIND(K$2,Mail!$A23)-LEN(K$2)),LEN(Mail!$A23)-60-FIND(K$2,Mail!$A23)-LEN(K$2),FIND("■",Mail!$A23,FIND(K$2,Mail!$A23)+LEN(K$2))-FIND(K$2,Mail!$A23)-LEN(K$2)-1))))</f>
        <v/>
      </c>
      <c r="L25" s="8" t="str">
        <f>TRIM(IF(ISERROR(FIND(L$2,Mail!$A23)),"",MID(Mail!$A23,FIND(L$2,Mail!$A23)+LEN(L$2)+1,IF(ISERROR(FIND("■",Mail!$A23,FIND(L$2,Mail!$A23)+LEN(L$2))-FIND(L$2,Mail!$A23)-LEN(L$2)),LEN(Mail!$A23)-60-FIND(L$2,Mail!$A23)-LEN(L$2),FIND("■",Mail!$A23,FIND(L$2,Mail!$A23)+LEN(L$2))-FIND(L$2,Mail!$A23)-LEN(L$2)-1))))</f>
        <v/>
      </c>
      <c r="M25" s="8" t="str">
        <f>TRIM(CLEAN(IF(ISERROR(FIND(M$2,Mail!$A23)),"",MID(Mail!$A23,FIND(M$2,Mail!$A23)+LEN(M$2)+1,IF(ISERROR(FIND("■",Mail!$A23,FIND(M$2,Mail!$A23)+LEN(M$2))-FIND(M$2,Mail!$A23)-LEN(M$2)),LEN(Mail!$A23)-60-FIND(M$2,Mail!$A23)-LEN(M$2),FIND("■",Mail!$A23,FIND(M$2,Mail!$A23)+LEN(M$2))-FIND(M$2,Mail!$A23)-LEN(M$2)-1)))))</f>
        <v/>
      </c>
      <c r="N25" s="8" t="str">
        <f>TRIM(CLEAN(IF(ISERROR(FIND(N$2,Mail!$A23)),"",MID(Mail!$A23,FIND(N$2,Mail!$A23)+LEN(N$2)+1,IF(ISERROR(FIND("■",Mail!$A23,FIND(N$2,Mail!$A23)+LEN(N$2))-FIND(N$2,Mail!$A23)-LEN(N$2)),LEN(Mail!$A23)-60-FIND(N$2,Mail!$A23)-LEN(N$2),FIND("■",Mail!$A23,FIND(N$2,Mail!$A23)+LEN(N$2))-FIND(N$2,Mail!$A23)-LEN(N$2)-1)))))</f>
        <v/>
      </c>
      <c r="O25" s="8" t="str">
        <f>TRIM(CLEAN(IF(ISERROR(FIND(O$2,Mail!$A23)),"",MID(Mail!$A23,FIND(O$2,Mail!$A23)+LEN(O$2)+1,IF(ISERROR(FIND("■",Mail!$A23,FIND(O$2,Mail!$A23)+LEN(O$2))-FIND(O$2,Mail!$A23)-LEN(O$2)),LEN(Mail!$A23)-60-FIND(O$2,Mail!$A23)-LEN(O$2),FIND("■",Mail!$A23,FIND(O$2,Mail!$A23)+LEN(O$2))-FIND(O$2,Mail!$A23)-LEN(O$2)-1)))))</f>
        <v/>
      </c>
      <c r="P25" s="8" t="str">
        <f>TRIM(CLEAN(IF(ISERROR(FIND(P$2,Mail!$A23)),"",MID(Mail!$A23,FIND(P$2,Mail!$A23)+LEN(P$2)+1,IF(ISERROR(FIND("■",Mail!$A23,FIND(P$2,Mail!$A23)+LEN(P$2))-FIND(P$2,Mail!$A23)-LEN(P$2)),LEN(Mail!$A23)-60-FIND(P$2,Mail!$A23)-LEN(P$2),FIND("■",Mail!$A23,FIND(P$2,Mail!$A23)+LEN(P$2))-FIND(P$2,Mail!$A23)-LEN(P$2)-1)))))</f>
        <v/>
      </c>
      <c r="Q25" s="8" t="str">
        <f>TRIM(CLEAN(IF(ISERROR(FIND(Q$2,Mail!$A23)),"",MID(Mail!$A23,FIND(Q$2,Mail!$A23)+LEN(Q$2)+1,IF(ISERROR(FIND("■",Mail!$A23,FIND(Q$2,Mail!$A23)+LEN(Q$2))-FIND(Q$2,Mail!$A23)-LEN(Q$2)),LEN(Mail!$A23)-60-FIND(Q$2,Mail!$A23)-LEN(Q$2),FIND("■",Mail!$A23,FIND(Q$2,Mail!$A23)+LEN(Q$2))-FIND(Q$2,Mail!$A23)-LEN(Q$2)-1)))))</f>
        <v/>
      </c>
      <c r="R25" s="8" t="str">
        <f>TRIM(CLEAN(IF(ISERROR(FIND(R$2,Mail!$A23)),"",MID(Mail!$A23,FIND(R$2,Mail!$A23)+LEN(R$2)+1,IF(ISERROR(FIND("■",Mail!$A23,FIND(R$2,Mail!$A23)+LEN(R$2))-FIND(R$2,Mail!$A23)-LEN(R$2)),LEN(Mail!$A23)-60-FIND(R$2,Mail!$A23)-LEN(R$2),FIND("■",Mail!$A23,FIND(R$2,Mail!$A23)+LEN(R$2))-FIND(R$2,Mail!$A23)-LEN(R$2)-1)))))</f>
        <v/>
      </c>
      <c r="S25" s="8" t="str">
        <f>TRIM(CLEAN(IF(ISERROR(FIND(S$2,Mail!$A23)),"",MID(Mail!$A23,FIND(S$2,Mail!$A23)+LEN(S$2)+1,IF(ISERROR(FIND("■",Mail!$A23,FIND(S$2,Mail!$A23)+LEN(S$2))-FIND(S$2,Mail!$A23)-LEN(S$2)),LEN(Mail!$A23)-60-FIND(S$2,Mail!$A23)-LEN(S$2),FIND("■",Mail!$A23,FIND(S$2,Mail!$A23)+LEN(S$2))-FIND(S$2,Mail!$A23)-LEN(S$2)-1)))))</f>
        <v/>
      </c>
      <c r="T25" s="8" t="str">
        <f>TRIM(CLEAN(IF(ISERROR(FIND(T$2,Mail!$A23)),"",MID(Mail!$A23,FIND(T$2,Mail!$A23)+LEN(T$2)+1,IF(ISERROR(FIND("■",Mail!$A23,FIND(T$2,Mail!$A23)+LEN(T$2))-FIND(T$2,Mail!$A23)-LEN(T$2)),LEN(Mail!$A23)-60-FIND(T$2,Mail!$A23)-LEN(T$2),FIND("■",Mail!$A23,FIND(T$2,Mail!$A23)+LEN(T$2))-FIND(T$2,Mail!$A23)-LEN(T$2)-1)))))</f>
        <v/>
      </c>
      <c r="U25" s="8" t="str">
        <f>TRIM(CLEAN(IF(ISERROR(FIND(U$2,Mail!$A23)),"",MID(Mail!$A23,FIND(U$2,Mail!$A23)+LEN(U$2)+1,IF(ISERROR(FIND("■",Mail!$A23,FIND(U$2,Mail!$A23)+LEN(U$2))-FIND(U$2,Mail!$A23)-LEN(U$2)),LEN(Mail!$A23)-60-FIND(U$2,Mail!$A23)-LEN(U$2),FIND("■",Mail!$A23,FIND(U$2,Mail!$A23)+LEN(U$2))-FIND(U$2,Mail!$A23)-LEN(U$2)-1)))))</f>
        <v/>
      </c>
      <c r="V25" s="8" t="str">
        <f>TRIM(CLEAN(IF(ISERROR(FIND(V$2,Mail!$A23)),"",MID(Mail!$A23,FIND(V$2,Mail!$A23)+LEN(V$2)+1,IF(ISERROR(FIND("■",Mail!$A23,FIND(V$2,Mail!$A23)+LEN(V$2))-FIND(V$2,Mail!$A23)-LEN(V$2)),LEN(Mail!$A23)-60-FIND(V$2,Mail!$A23)-LEN(V$2),FIND("■",Mail!$A23,FIND(V$2,Mail!$A23)+LEN(V$2))-FIND(V$2,Mail!$A23)-LEN(V$2)-1)))))</f>
        <v/>
      </c>
      <c r="W25" s="8" t="str">
        <f>TRIM(CLEAN(IF(ISERROR(FIND(W$2,Mail!$A23)),"",MID(Mail!$A23,FIND(W$2,Mail!$A23)+LEN(W$2)+1,IF(ISERROR(FIND("■",Mail!$A23,FIND(W$2,Mail!$A23)+LEN(W$2))-FIND(W$2,Mail!$A23)-LEN(W$2)),LEN(Mail!$A23)-60-FIND(W$2,Mail!$A23)-LEN(W$2),FIND("■",Mail!$A23,FIND(W$2,Mail!$A23)+LEN(W$2))-FIND(W$2,Mail!$A23)-LEN(W$2)-1)))))</f>
        <v/>
      </c>
      <c r="X25" s="8" t="str">
        <f>TRIM(IF(ISERROR(FIND(X$2,Mail!$A23)),"",MID(Mail!$A23,FIND(X$2,Mail!$A23)+LEN(X$2)+1,IF(ISERROR(FIND("■",Mail!$A23,FIND(X$2,Mail!$A23)+LEN(X$2))-FIND(X$2,Mail!$A23)-LEN(X$2)),LEN(Mail!$A23)-60-FIND(X$2,Mail!$A23)-LEN(X$2),FIND("■",Mail!$A23,FIND(X$2,Mail!$A23)+LEN(X$2))-FIND(X$2,Mail!$A23)-LEN(X$2)-1))))</f>
        <v/>
      </c>
      <c r="Y25" s="8" t="str">
        <f>TRIM(CLEAN(IF(ISERROR(FIND(Y$2,Mail!$A23)),"",MID(Mail!$A23,FIND(Y$2,Mail!$A23)+LEN(Y$2)+1,IF(ISERROR(FIND("■",Mail!$A23,FIND(Y$2,Mail!$A23)+LEN(Y$2))-FIND(Y$2,Mail!$A23)-LEN(Y$2)),LEN(Mail!$A23)-60-FIND(Y$2,Mail!$A23)-LEN(Y$2),FIND("■",Mail!$A23,FIND(Y$2,Mail!$A23)+LEN(Y$2))-FIND(Y$2,Mail!$A23)-LEN(Y$2)-1)))))</f>
        <v/>
      </c>
      <c r="Z25" s="8" t="str">
        <f>TRIM(CLEAN(IF(ISERROR(FIND(Z$2,Mail!$A23)),"",MID(Mail!$A23,FIND(Z$2,Mail!$A23)+LEN(Z$2)+1,IF(ISERROR(FIND("■",Mail!$A23,FIND(Z$2,Mail!$A23)+LEN(Z$2))-FIND(Z$2,Mail!$A23)-LEN(Z$2)),LEN(Mail!$A23)-60-FIND(Z$2,Mail!$A23)-LEN(Z$2),FIND("■",Mail!$A23,FIND(Z$2,Mail!$A23)+LEN(Z$2))-FIND(Z$2,Mail!$A23)-LEN(Z$2)-1)))))</f>
        <v/>
      </c>
      <c r="AA25" s="8" t="str">
        <f>TRIM(CLEAN(IF(ISERROR(FIND(AA$2,Mail!$A23)),"",MID(Mail!$A23,FIND(AA$2,Mail!$A23)+LEN(AA$2)+1,IF(ISERROR(FIND("■",Mail!$A23,FIND(AA$2,Mail!$A23)+LEN(AA$2))-FIND(AA$2,Mail!$A23)-LEN(AA$2)),LEN(Mail!$A23)-60-FIND(AA$2,Mail!$A23)-LEN(AA$2),FIND("■",Mail!$A23,FIND(AA$2,Mail!$A23)+LEN(AA$2))-FIND(AA$2,Mail!$A23)-LEN(AA$2)-1)))))</f>
        <v/>
      </c>
      <c r="AB25" s="8" t="str">
        <f>TRIM(CLEAN(IF(ISERROR(FIND(AB$2,Mail!$A23)),"",MID(Mail!$A23,FIND(AB$2,Mail!$A23)+LEN(AB$2)+1,IF(ISERROR(FIND("■",Mail!$A23,FIND(AB$2,Mail!$A23)+LEN(AB$2))-FIND(AB$2,Mail!$A23)-LEN(AB$2)),LEN(Mail!$A23)-60-FIND(AB$2,Mail!$A23)-LEN(AB$2),FIND("■",Mail!$A23,FIND(AB$2,Mail!$A23)+LEN(AB$2))-FIND(AB$2,Mail!$A23)-LEN(AB$2)-1)))))</f>
        <v/>
      </c>
      <c r="AC25" s="8" t="str">
        <f>TRIM(CLEAN(IF(ISERROR(FIND(AC$2,Mail!$A23)),"",MID(Mail!$A23,FIND(AC$2,Mail!$A23)+LEN(AC$2)+1,IF(ISERROR(FIND("■",Mail!$A23,FIND(AC$2,Mail!$A23)+LEN(AC$2))-FIND(AC$2,Mail!$A23)-LEN(AC$2)),LEN(Mail!$A23)-60-FIND(AC$2,Mail!$A23)-LEN(AC$2),FIND("■",Mail!$A23,FIND(AC$2,Mail!$A23)+LEN(AC$2))-FIND(AC$2,Mail!$A23)-LEN(AC$2)-1)))))</f>
        <v/>
      </c>
      <c r="AD25" s="8" t="str">
        <f>TRIM(CLEAN(IF(ISERROR(FIND(AD$2,Mail!$A23)),"",MID(Mail!$A23,FIND(AD$2,Mail!$A23)+LEN(AD$2)+1,IF(ISERROR(FIND("■",Mail!$A23,FIND(AD$2,Mail!$A23)+LEN(AD$2))-FIND(AD$2,Mail!$A23)-LEN(AD$2)),LEN(Mail!$A23)-60-FIND(AD$2,Mail!$A23)-LEN(AD$2),FIND("■",Mail!$A23,FIND(AD$2,Mail!$A23)+LEN(AD$2))-FIND(AD$2,Mail!$A23)-LEN(AD$2)-1)))))</f>
        <v/>
      </c>
      <c r="AE25" s="8" t="str">
        <f>TRIM(CLEAN(IF(ISERROR(FIND(AE$2,Mail!$A23)),"",MID(Mail!$A23,FIND(AE$2,Mail!$A23)+LEN(AE$2)+1,IF(ISERROR(FIND("■",Mail!$A23,FIND(AE$2,Mail!$A23)+LEN(AE$2))-FIND(AE$2,Mail!$A23)-LEN(AE$2)),LEN(Mail!$A23)-60-FIND(AE$2,Mail!$A23)-LEN(AE$2),FIND("■",Mail!$A23,FIND(AE$2,Mail!$A23)+LEN(AE$2))-FIND(AE$2,Mail!$A23)-LEN(AE$2)-1)))))</f>
        <v/>
      </c>
      <c r="AF25" s="8" t="str">
        <f>TRIM(CLEAN(IF(ISERROR(FIND(AF$2,Mail!$A23)),"",MID(Mail!$A23,FIND(AF$2,Mail!$A23)+LEN(AF$2)+1,IF(ISERROR(FIND("■",Mail!$A23,FIND(AF$2,Mail!$A23)+LEN(AF$2))-FIND(AF$2,Mail!$A23)-LEN(AF$2)),LEN(Mail!$A23)-60-FIND(AF$2,Mail!$A23)-LEN(AF$2),FIND("■",Mail!$A23,FIND(AF$2,Mail!$A23)+LEN(AF$2))-FIND(AF$2,Mail!$A23)-LEN(AF$2)-1)))))</f>
        <v/>
      </c>
      <c r="AG25" s="8" t="str">
        <f>TRIM(IF(ISERROR(FIND(AG$2,Mail!$A23)),"",MID(Mail!$A23,FIND(AG$2,Mail!$A23)+LEN(AG$2)+1,IF(ISERROR(FIND("■",Mail!$A23,FIND(AG$2,Mail!$A23)+LEN(AG$2))-FIND(AG$2,Mail!$A23)-LEN(AG$2)),LEN(Mail!$A23)-60-FIND(AG$2,Mail!$A23)-LEN(AG$2),FIND("■",Mail!$A23,FIND(AG$2,Mail!$A23)+LEN(AG$2))-FIND(AG$2,Mail!$A23)-LEN(AG$2)-1))))</f>
        <v/>
      </c>
      <c r="AH25" s="8" t="str">
        <f>TRIM(IF(ISERROR(FIND(AH$2,Mail!$A23)),"",MID(Mail!$A23,FIND(AH$2,Mail!$A23)+LEN(AH$2)+1,IF(ISERROR(FIND("■",Mail!$A23,FIND(AH$2,Mail!$A23)+LEN(AH$2))-FIND(AH$2,Mail!$A23)-LEN(AH$2)),LEN(Mail!$A23)-60-FIND(AH$2,Mail!$A23)-LEN(AH$2),FIND("■",Mail!$A23,FIND(AH$2,Mail!$A23)+LEN(AH$2))-FIND(AH$2,Mail!$A23)-LEN(AH$2)-1))))</f>
        <v/>
      </c>
      <c r="AI25" s="8" t="str">
        <f>TRIM(IF(ISERROR(FIND(AI$2,Mail!$A23)),"",MID(Mail!$A23,FIND(AI$2,Mail!$A23)+LEN(AI$2)+1,IF(ISERROR(FIND("■",Mail!$A23,FIND(AI$2,Mail!$A23)+LEN(AI$2))-FIND(AI$2,Mail!$A23)-LEN(AI$2)),LEN(Mail!$A23)-60-FIND(AI$2,Mail!$A23)-LEN(AI$2),FIND("■",Mail!$A23,FIND(AI$2,Mail!$A23)+LEN(AI$2))-FIND(AI$2,Mail!$A23)-LEN(AI$2)-1))))</f>
        <v/>
      </c>
    </row>
    <row r="26" spans="1:35" s="8" customFormat="1" x14ac:dyDescent="0.15">
      <c r="A26" s="9" t="str">
        <f t="shared" si="1"/>
        <v/>
      </c>
      <c r="B26" s="8" t="str">
        <f>CLEAN(SUBSTITUTE(IF(ISERROR(FIND("yokohama",Mail!$A24)),"",MID(Mail!$A24,FIND("yokohama",Mail!$A24)+LEN("yokohama")+1,FIND("件目",Mail!$A24,FIND("yokohama",Mail!$A24))-(FIND("yokohama",Mail!$A24)+LEN("yokohama")+1)))," ",""))</f>
        <v/>
      </c>
      <c r="C26" s="9" t="str">
        <f t="shared" si="0"/>
        <v/>
      </c>
      <c r="D26" s="9" t="str">
        <f t="shared" si="2"/>
        <v/>
      </c>
      <c r="E26" s="8" t="str">
        <f t="shared" si="3"/>
        <v/>
      </c>
      <c r="F26" s="8" t="str">
        <f>TRIM(CLEAN(IF(ISERROR(FIND(F$2,Mail!$A24)),"",MID(Mail!$A24,FIND(F$2,Mail!$A24)+LEN(F$2)+1,IF(ISERROR(FIND("■",Mail!$A24,FIND(F$2,Mail!$A24)+LEN(F$2))-FIND(F$2,Mail!$A24)-LEN(F$2)),LEN(Mail!$A24)-60-FIND(F$2,Mail!$A24)-LEN(F$2),FIND("■",Mail!$A24,FIND(F$2,Mail!$A24)+LEN(F$2))-FIND(F$2,Mail!$A24)-LEN(F$2)-1)))))</f>
        <v/>
      </c>
      <c r="G26" s="8" t="str">
        <f>TRIM(CLEAN(IF(ISERROR(FIND(G$2,Mail!$A24)),"",MID(Mail!$A24,FIND(G$2,Mail!$A24)+LEN(G$2)+1,IF(ISERROR(FIND("■",Mail!$A24,FIND(G$2,Mail!$A24)+LEN(G$2))-FIND(G$2,Mail!$A24)-LEN(G$2)),LEN(Mail!$A24)-60-FIND(G$2,Mail!$A24)-LEN(G$2),FIND("■",Mail!$A24,FIND(G$2,Mail!$A24)+LEN(G$2))-FIND(G$2,Mail!$A24)-LEN(G$2)-1)))))</f>
        <v/>
      </c>
      <c r="H26" s="8" t="str">
        <f>TRIM(CLEAN(IF(ISERROR(FIND(H$2,Mail!$A24)),"",MID(Mail!$A24,FIND(H$2,Mail!$A24)+LEN(H$2)+1,IF(ISERROR(FIND("■",Mail!$A24,FIND(H$2,Mail!$A24)+LEN(H$2))-FIND(H$2,Mail!$A24)-LEN(H$2)),LEN(Mail!$A24)-60-FIND(H$2,Mail!$A24)-LEN(H$2),FIND("■",Mail!$A24,FIND(H$2,Mail!$A24)+LEN(H$2))-FIND(H$2,Mail!$A24)-LEN(H$2)-1)))))</f>
        <v/>
      </c>
      <c r="I26" s="8" t="str">
        <f>TRIM(CLEAN(IF(ISERROR(FIND(I$2,Mail!$A24)),"",MID(Mail!$A24,FIND(I$2,Mail!$A24)+LEN(I$2)+1,IF(ISERROR(FIND("■",Mail!$A24,FIND(I$2,Mail!$A24)+LEN(I$2))-FIND(I$2,Mail!$A24)-LEN(I$2)),LEN(Mail!$A24)-60-FIND(I$2,Mail!$A24)-LEN(I$2),FIND("■",Mail!$A24,FIND(I$2,Mail!$A24)+LEN(I$2))-FIND(I$2,Mail!$A24)-LEN(I$2)-1)))))</f>
        <v/>
      </c>
      <c r="J26" s="8" t="str">
        <f>TRIM(IF(ISERROR(FIND(J$2,Mail!$A24)),"",MID(Mail!$A24,FIND(J$2,Mail!$A24)+LEN(J$2)+1,IF(ISERROR(FIND("■",Mail!$A24,FIND(J$2,Mail!$A24)+LEN(J$2))-FIND(J$2,Mail!$A24)-LEN(J$2)),LEN(Mail!$A24)-60-FIND(J$2,Mail!$A24)-LEN(J$2),FIND("■",Mail!$A24,FIND(J$2,Mail!$A24)+LEN(J$2))-FIND(J$2,Mail!$A24)-LEN(J$2)-1))))</f>
        <v/>
      </c>
      <c r="K26" s="8" t="str">
        <f>TRIM(IF(ISERROR(FIND(K$2,Mail!$A24)),"",MID(Mail!$A24,FIND(K$2,Mail!$A24)+LEN(K$2)+1,IF(ISERROR(FIND("■",Mail!$A24,FIND(K$2,Mail!$A24)+LEN(K$2))-FIND(K$2,Mail!$A24)-LEN(K$2)),LEN(Mail!$A24)-60-FIND(K$2,Mail!$A24)-LEN(K$2),FIND("■",Mail!$A24,FIND(K$2,Mail!$A24)+LEN(K$2))-FIND(K$2,Mail!$A24)-LEN(K$2)-1))))</f>
        <v/>
      </c>
      <c r="L26" s="8" t="str">
        <f>TRIM(IF(ISERROR(FIND(L$2,Mail!$A24)),"",MID(Mail!$A24,FIND(L$2,Mail!$A24)+LEN(L$2)+1,IF(ISERROR(FIND("■",Mail!$A24,FIND(L$2,Mail!$A24)+LEN(L$2))-FIND(L$2,Mail!$A24)-LEN(L$2)),LEN(Mail!$A24)-60-FIND(L$2,Mail!$A24)-LEN(L$2),FIND("■",Mail!$A24,FIND(L$2,Mail!$A24)+LEN(L$2))-FIND(L$2,Mail!$A24)-LEN(L$2)-1))))</f>
        <v/>
      </c>
      <c r="M26" s="8" t="str">
        <f>TRIM(CLEAN(IF(ISERROR(FIND(M$2,Mail!$A24)),"",MID(Mail!$A24,FIND(M$2,Mail!$A24)+LEN(M$2)+1,IF(ISERROR(FIND("■",Mail!$A24,FIND(M$2,Mail!$A24)+LEN(M$2))-FIND(M$2,Mail!$A24)-LEN(M$2)),LEN(Mail!$A24)-60-FIND(M$2,Mail!$A24)-LEN(M$2),FIND("■",Mail!$A24,FIND(M$2,Mail!$A24)+LEN(M$2))-FIND(M$2,Mail!$A24)-LEN(M$2)-1)))))</f>
        <v/>
      </c>
      <c r="N26" s="8" t="str">
        <f>TRIM(CLEAN(IF(ISERROR(FIND(N$2,Mail!$A24)),"",MID(Mail!$A24,FIND(N$2,Mail!$A24)+LEN(N$2)+1,IF(ISERROR(FIND("■",Mail!$A24,FIND(N$2,Mail!$A24)+LEN(N$2))-FIND(N$2,Mail!$A24)-LEN(N$2)),LEN(Mail!$A24)-60-FIND(N$2,Mail!$A24)-LEN(N$2),FIND("■",Mail!$A24,FIND(N$2,Mail!$A24)+LEN(N$2))-FIND(N$2,Mail!$A24)-LEN(N$2)-1)))))</f>
        <v/>
      </c>
      <c r="O26" s="8" t="str">
        <f>TRIM(CLEAN(IF(ISERROR(FIND(O$2,Mail!$A24)),"",MID(Mail!$A24,FIND(O$2,Mail!$A24)+LEN(O$2)+1,IF(ISERROR(FIND("■",Mail!$A24,FIND(O$2,Mail!$A24)+LEN(O$2))-FIND(O$2,Mail!$A24)-LEN(O$2)),LEN(Mail!$A24)-60-FIND(O$2,Mail!$A24)-LEN(O$2),FIND("■",Mail!$A24,FIND(O$2,Mail!$A24)+LEN(O$2))-FIND(O$2,Mail!$A24)-LEN(O$2)-1)))))</f>
        <v/>
      </c>
      <c r="P26" s="8" t="str">
        <f>TRIM(CLEAN(IF(ISERROR(FIND(P$2,Mail!$A24)),"",MID(Mail!$A24,FIND(P$2,Mail!$A24)+LEN(P$2)+1,IF(ISERROR(FIND("■",Mail!$A24,FIND(P$2,Mail!$A24)+LEN(P$2))-FIND(P$2,Mail!$A24)-LEN(P$2)),LEN(Mail!$A24)-60-FIND(P$2,Mail!$A24)-LEN(P$2),FIND("■",Mail!$A24,FIND(P$2,Mail!$A24)+LEN(P$2))-FIND(P$2,Mail!$A24)-LEN(P$2)-1)))))</f>
        <v/>
      </c>
      <c r="Q26" s="8" t="str">
        <f>TRIM(CLEAN(IF(ISERROR(FIND(Q$2,Mail!$A24)),"",MID(Mail!$A24,FIND(Q$2,Mail!$A24)+LEN(Q$2)+1,IF(ISERROR(FIND("■",Mail!$A24,FIND(Q$2,Mail!$A24)+LEN(Q$2))-FIND(Q$2,Mail!$A24)-LEN(Q$2)),LEN(Mail!$A24)-60-FIND(Q$2,Mail!$A24)-LEN(Q$2),FIND("■",Mail!$A24,FIND(Q$2,Mail!$A24)+LEN(Q$2))-FIND(Q$2,Mail!$A24)-LEN(Q$2)-1)))))</f>
        <v/>
      </c>
      <c r="R26" s="8" t="str">
        <f>TRIM(CLEAN(IF(ISERROR(FIND(R$2,Mail!$A24)),"",MID(Mail!$A24,FIND(R$2,Mail!$A24)+LEN(R$2)+1,IF(ISERROR(FIND("■",Mail!$A24,FIND(R$2,Mail!$A24)+LEN(R$2))-FIND(R$2,Mail!$A24)-LEN(R$2)),LEN(Mail!$A24)-60-FIND(R$2,Mail!$A24)-LEN(R$2),FIND("■",Mail!$A24,FIND(R$2,Mail!$A24)+LEN(R$2))-FIND(R$2,Mail!$A24)-LEN(R$2)-1)))))</f>
        <v/>
      </c>
      <c r="S26" s="8" t="str">
        <f>TRIM(CLEAN(IF(ISERROR(FIND(S$2,Mail!$A24)),"",MID(Mail!$A24,FIND(S$2,Mail!$A24)+LEN(S$2)+1,IF(ISERROR(FIND("■",Mail!$A24,FIND(S$2,Mail!$A24)+LEN(S$2))-FIND(S$2,Mail!$A24)-LEN(S$2)),LEN(Mail!$A24)-60-FIND(S$2,Mail!$A24)-LEN(S$2),FIND("■",Mail!$A24,FIND(S$2,Mail!$A24)+LEN(S$2))-FIND(S$2,Mail!$A24)-LEN(S$2)-1)))))</f>
        <v/>
      </c>
      <c r="T26" s="8" t="str">
        <f>TRIM(CLEAN(IF(ISERROR(FIND(T$2,Mail!$A24)),"",MID(Mail!$A24,FIND(T$2,Mail!$A24)+LEN(T$2)+1,IF(ISERROR(FIND("■",Mail!$A24,FIND(T$2,Mail!$A24)+LEN(T$2))-FIND(T$2,Mail!$A24)-LEN(T$2)),LEN(Mail!$A24)-60-FIND(T$2,Mail!$A24)-LEN(T$2),FIND("■",Mail!$A24,FIND(T$2,Mail!$A24)+LEN(T$2))-FIND(T$2,Mail!$A24)-LEN(T$2)-1)))))</f>
        <v/>
      </c>
      <c r="U26" s="8" t="str">
        <f>TRIM(CLEAN(IF(ISERROR(FIND(U$2,Mail!$A24)),"",MID(Mail!$A24,FIND(U$2,Mail!$A24)+LEN(U$2)+1,IF(ISERROR(FIND("■",Mail!$A24,FIND(U$2,Mail!$A24)+LEN(U$2))-FIND(U$2,Mail!$A24)-LEN(U$2)),LEN(Mail!$A24)-60-FIND(U$2,Mail!$A24)-LEN(U$2),FIND("■",Mail!$A24,FIND(U$2,Mail!$A24)+LEN(U$2))-FIND(U$2,Mail!$A24)-LEN(U$2)-1)))))</f>
        <v/>
      </c>
      <c r="V26" s="8" t="str">
        <f>TRIM(CLEAN(IF(ISERROR(FIND(V$2,Mail!$A24)),"",MID(Mail!$A24,FIND(V$2,Mail!$A24)+LEN(V$2)+1,IF(ISERROR(FIND("■",Mail!$A24,FIND(V$2,Mail!$A24)+LEN(V$2))-FIND(V$2,Mail!$A24)-LEN(V$2)),LEN(Mail!$A24)-60-FIND(V$2,Mail!$A24)-LEN(V$2),FIND("■",Mail!$A24,FIND(V$2,Mail!$A24)+LEN(V$2))-FIND(V$2,Mail!$A24)-LEN(V$2)-1)))))</f>
        <v/>
      </c>
      <c r="W26" s="8" t="str">
        <f>TRIM(CLEAN(IF(ISERROR(FIND(W$2,Mail!$A24)),"",MID(Mail!$A24,FIND(W$2,Mail!$A24)+LEN(W$2)+1,IF(ISERROR(FIND("■",Mail!$A24,FIND(W$2,Mail!$A24)+LEN(W$2))-FIND(W$2,Mail!$A24)-LEN(W$2)),LEN(Mail!$A24)-60-FIND(W$2,Mail!$A24)-LEN(W$2),FIND("■",Mail!$A24,FIND(W$2,Mail!$A24)+LEN(W$2))-FIND(W$2,Mail!$A24)-LEN(W$2)-1)))))</f>
        <v/>
      </c>
      <c r="X26" s="8" t="str">
        <f>TRIM(IF(ISERROR(FIND(X$2,Mail!$A24)),"",MID(Mail!$A24,FIND(X$2,Mail!$A24)+LEN(X$2)+1,IF(ISERROR(FIND("■",Mail!$A24,FIND(X$2,Mail!$A24)+LEN(X$2))-FIND(X$2,Mail!$A24)-LEN(X$2)),LEN(Mail!$A24)-60-FIND(X$2,Mail!$A24)-LEN(X$2),FIND("■",Mail!$A24,FIND(X$2,Mail!$A24)+LEN(X$2))-FIND(X$2,Mail!$A24)-LEN(X$2)-1))))</f>
        <v/>
      </c>
      <c r="Y26" s="8" t="str">
        <f>TRIM(CLEAN(IF(ISERROR(FIND(Y$2,Mail!$A24)),"",MID(Mail!$A24,FIND(Y$2,Mail!$A24)+LEN(Y$2)+1,IF(ISERROR(FIND("■",Mail!$A24,FIND(Y$2,Mail!$A24)+LEN(Y$2))-FIND(Y$2,Mail!$A24)-LEN(Y$2)),LEN(Mail!$A24)-60-FIND(Y$2,Mail!$A24)-LEN(Y$2),FIND("■",Mail!$A24,FIND(Y$2,Mail!$A24)+LEN(Y$2))-FIND(Y$2,Mail!$A24)-LEN(Y$2)-1)))))</f>
        <v/>
      </c>
      <c r="Z26" s="8" t="str">
        <f>TRIM(CLEAN(IF(ISERROR(FIND(Z$2,Mail!$A24)),"",MID(Mail!$A24,FIND(Z$2,Mail!$A24)+LEN(Z$2)+1,IF(ISERROR(FIND("■",Mail!$A24,FIND(Z$2,Mail!$A24)+LEN(Z$2))-FIND(Z$2,Mail!$A24)-LEN(Z$2)),LEN(Mail!$A24)-60-FIND(Z$2,Mail!$A24)-LEN(Z$2),FIND("■",Mail!$A24,FIND(Z$2,Mail!$A24)+LEN(Z$2))-FIND(Z$2,Mail!$A24)-LEN(Z$2)-1)))))</f>
        <v/>
      </c>
      <c r="AA26" s="8" t="str">
        <f>TRIM(CLEAN(IF(ISERROR(FIND(AA$2,Mail!$A24)),"",MID(Mail!$A24,FIND(AA$2,Mail!$A24)+LEN(AA$2)+1,IF(ISERROR(FIND("■",Mail!$A24,FIND(AA$2,Mail!$A24)+LEN(AA$2))-FIND(AA$2,Mail!$A24)-LEN(AA$2)),LEN(Mail!$A24)-60-FIND(AA$2,Mail!$A24)-LEN(AA$2),FIND("■",Mail!$A24,FIND(AA$2,Mail!$A24)+LEN(AA$2))-FIND(AA$2,Mail!$A24)-LEN(AA$2)-1)))))</f>
        <v/>
      </c>
      <c r="AB26" s="8" t="str">
        <f>TRIM(CLEAN(IF(ISERROR(FIND(AB$2,Mail!$A24)),"",MID(Mail!$A24,FIND(AB$2,Mail!$A24)+LEN(AB$2)+1,IF(ISERROR(FIND("■",Mail!$A24,FIND(AB$2,Mail!$A24)+LEN(AB$2))-FIND(AB$2,Mail!$A24)-LEN(AB$2)),LEN(Mail!$A24)-60-FIND(AB$2,Mail!$A24)-LEN(AB$2),FIND("■",Mail!$A24,FIND(AB$2,Mail!$A24)+LEN(AB$2))-FIND(AB$2,Mail!$A24)-LEN(AB$2)-1)))))</f>
        <v/>
      </c>
      <c r="AC26" s="8" t="str">
        <f>TRIM(CLEAN(IF(ISERROR(FIND(AC$2,Mail!$A24)),"",MID(Mail!$A24,FIND(AC$2,Mail!$A24)+LEN(AC$2)+1,IF(ISERROR(FIND("■",Mail!$A24,FIND(AC$2,Mail!$A24)+LEN(AC$2))-FIND(AC$2,Mail!$A24)-LEN(AC$2)),LEN(Mail!$A24)-60-FIND(AC$2,Mail!$A24)-LEN(AC$2),FIND("■",Mail!$A24,FIND(AC$2,Mail!$A24)+LEN(AC$2))-FIND(AC$2,Mail!$A24)-LEN(AC$2)-1)))))</f>
        <v/>
      </c>
      <c r="AD26" s="8" t="str">
        <f>TRIM(CLEAN(IF(ISERROR(FIND(AD$2,Mail!$A24)),"",MID(Mail!$A24,FIND(AD$2,Mail!$A24)+LEN(AD$2)+1,IF(ISERROR(FIND("■",Mail!$A24,FIND(AD$2,Mail!$A24)+LEN(AD$2))-FIND(AD$2,Mail!$A24)-LEN(AD$2)),LEN(Mail!$A24)-60-FIND(AD$2,Mail!$A24)-LEN(AD$2),FIND("■",Mail!$A24,FIND(AD$2,Mail!$A24)+LEN(AD$2))-FIND(AD$2,Mail!$A24)-LEN(AD$2)-1)))))</f>
        <v/>
      </c>
      <c r="AE26" s="8" t="str">
        <f>TRIM(CLEAN(IF(ISERROR(FIND(AE$2,Mail!$A24)),"",MID(Mail!$A24,FIND(AE$2,Mail!$A24)+LEN(AE$2)+1,IF(ISERROR(FIND("■",Mail!$A24,FIND(AE$2,Mail!$A24)+LEN(AE$2))-FIND(AE$2,Mail!$A24)-LEN(AE$2)),LEN(Mail!$A24)-60-FIND(AE$2,Mail!$A24)-LEN(AE$2),FIND("■",Mail!$A24,FIND(AE$2,Mail!$A24)+LEN(AE$2))-FIND(AE$2,Mail!$A24)-LEN(AE$2)-1)))))</f>
        <v/>
      </c>
      <c r="AF26" s="8" t="str">
        <f>TRIM(CLEAN(IF(ISERROR(FIND(AF$2,Mail!$A24)),"",MID(Mail!$A24,FIND(AF$2,Mail!$A24)+LEN(AF$2)+1,IF(ISERROR(FIND("■",Mail!$A24,FIND(AF$2,Mail!$A24)+LEN(AF$2))-FIND(AF$2,Mail!$A24)-LEN(AF$2)),LEN(Mail!$A24)-60-FIND(AF$2,Mail!$A24)-LEN(AF$2),FIND("■",Mail!$A24,FIND(AF$2,Mail!$A24)+LEN(AF$2))-FIND(AF$2,Mail!$A24)-LEN(AF$2)-1)))))</f>
        <v/>
      </c>
      <c r="AG26" s="8" t="str">
        <f>TRIM(IF(ISERROR(FIND(AG$2,Mail!$A24)),"",MID(Mail!$A24,FIND(AG$2,Mail!$A24)+LEN(AG$2)+1,IF(ISERROR(FIND("■",Mail!$A24,FIND(AG$2,Mail!$A24)+LEN(AG$2))-FIND(AG$2,Mail!$A24)-LEN(AG$2)),LEN(Mail!$A24)-60-FIND(AG$2,Mail!$A24)-LEN(AG$2),FIND("■",Mail!$A24,FIND(AG$2,Mail!$A24)+LEN(AG$2))-FIND(AG$2,Mail!$A24)-LEN(AG$2)-1))))</f>
        <v/>
      </c>
      <c r="AH26" s="8" t="str">
        <f>TRIM(IF(ISERROR(FIND(AH$2,Mail!$A24)),"",MID(Mail!$A24,FIND(AH$2,Mail!$A24)+LEN(AH$2)+1,IF(ISERROR(FIND("■",Mail!$A24,FIND(AH$2,Mail!$A24)+LEN(AH$2))-FIND(AH$2,Mail!$A24)-LEN(AH$2)),LEN(Mail!$A24)-60-FIND(AH$2,Mail!$A24)-LEN(AH$2),FIND("■",Mail!$A24,FIND(AH$2,Mail!$A24)+LEN(AH$2))-FIND(AH$2,Mail!$A24)-LEN(AH$2)-1))))</f>
        <v/>
      </c>
      <c r="AI26" s="8" t="str">
        <f>TRIM(IF(ISERROR(FIND(AI$2,Mail!$A24)),"",MID(Mail!$A24,FIND(AI$2,Mail!$A24)+LEN(AI$2)+1,IF(ISERROR(FIND("■",Mail!$A24,FIND(AI$2,Mail!$A24)+LEN(AI$2))-FIND(AI$2,Mail!$A24)-LEN(AI$2)),LEN(Mail!$A24)-60-FIND(AI$2,Mail!$A24)-LEN(AI$2),FIND("■",Mail!$A24,FIND(AI$2,Mail!$A24)+LEN(AI$2))-FIND(AI$2,Mail!$A24)-LEN(AI$2)-1))))</f>
        <v/>
      </c>
    </row>
    <row r="27" spans="1:35" s="8" customFormat="1" x14ac:dyDescent="0.15">
      <c r="A27" s="9" t="str">
        <f t="shared" si="1"/>
        <v/>
      </c>
      <c r="B27" s="8" t="str">
        <f>CLEAN(SUBSTITUTE(IF(ISERROR(FIND("yokohama",Mail!$A25)),"",MID(Mail!$A25,FIND("yokohama",Mail!$A25)+LEN("yokohama")+1,FIND("件目",Mail!$A25,FIND("yokohama",Mail!$A25))-(FIND("yokohama",Mail!$A25)+LEN("yokohama")+1)))," ",""))</f>
        <v/>
      </c>
      <c r="C27" s="9" t="str">
        <f t="shared" si="0"/>
        <v/>
      </c>
      <c r="D27" s="9" t="str">
        <f t="shared" si="2"/>
        <v/>
      </c>
      <c r="E27" s="8" t="str">
        <f t="shared" si="3"/>
        <v/>
      </c>
      <c r="F27" s="8" t="str">
        <f>TRIM(CLEAN(IF(ISERROR(FIND(F$2,Mail!$A25)),"",MID(Mail!$A25,FIND(F$2,Mail!$A25)+LEN(F$2)+1,IF(ISERROR(FIND("■",Mail!$A25,FIND(F$2,Mail!$A25)+LEN(F$2))-FIND(F$2,Mail!$A25)-LEN(F$2)),LEN(Mail!$A25)-60-FIND(F$2,Mail!$A25)-LEN(F$2),FIND("■",Mail!$A25,FIND(F$2,Mail!$A25)+LEN(F$2))-FIND(F$2,Mail!$A25)-LEN(F$2)-1)))))</f>
        <v/>
      </c>
      <c r="G27" s="8" t="str">
        <f>TRIM(CLEAN(IF(ISERROR(FIND(G$2,Mail!$A25)),"",MID(Mail!$A25,FIND(G$2,Mail!$A25)+LEN(G$2)+1,IF(ISERROR(FIND("■",Mail!$A25,FIND(G$2,Mail!$A25)+LEN(G$2))-FIND(G$2,Mail!$A25)-LEN(G$2)),LEN(Mail!$A25)-60-FIND(G$2,Mail!$A25)-LEN(G$2),FIND("■",Mail!$A25,FIND(G$2,Mail!$A25)+LEN(G$2))-FIND(G$2,Mail!$A25)-LEN(G$2)-1)))))</f>
        <v/>
      </c>
      <c r="H27" s="8" t="str">
        <f>TRIM(CLEAN(IF(ISERROR(FIND(H$2,Mail!$A25)),"",MID(Mail!$A25,FIND(H$2,Mail!$A25)+LEN(H$2)+1,IF(ISERROR(FIND("■",Mail!$A25,FIND(H$2,Mail!$A25)+LEN(H$2))-FIND(H$2,Mail!$A25)-LEN(H$2)),LEN(Mail!$A25)-60-FIND(H$2,Mail!$A25)-LEN(H$2),FIND("■",Mail!$A25,FIND(H$2,Mail!$A25)+LEN(H$2))-FIND(H$2,Mail!$A25)-LEN(H$2)-1)))))</f>
        <v/>
      </c>
      <c r="I27" s="8" t="str">
        <f>TRIM(CLEAN(IF(ISERROR(FIND(I$2,Mail!$A25)),"",MID(Mail!$A25,FIND(I$2,Mail!$A25)+LEN(I$2)+1,IF(ISERROR(FIND("■",Mail!$A25,FIND(I$2,Mail!$A25)+LEN(I$2))-FIND(I$2,Mail!$A25)-LEN(I$2)),LEN(Mail!$A25)-60-FIND(I$2,Mail!$A25)-LEN(I$2),FIND("■",Mail!$A25,FIND(I$2,Mail!$A25)+LEN(I$2))-FIND(I$2,Mail!$A25)-LEN(I$2)-1)))))</f>
        <v/>
      </c>
      <c r="J27" s="8" t="str">
        <f>TRIM(IF(ISERROR(FIND(J$2,Mail!$A25)),"",MID(Mail!$A25,FIND(J$2,Mail!$A25)+LEN(J$2)+1,IF(ISERROR(FIND("■",Mail!$A25,FIND(J$2,Mail!$A25)+LEN(J$2))-FIND(J$2,Mail!$A25)-LEN(J$2)),LEN(Mail!$A25)-60-FIND(J$2,Mail!$A25)-LEN(J$2),FIND("■",Mail!$A25,FIND(J$2,Mail!$A25)+LEN(J$2))-FIND(J$2,Mail!$A25)-LEN(J$2)-1))))</f>
        <v/>
      </c>
      <c r="K27" s="8" t="str">
        <f>TRIM(IF(ISERROR(FIND(K$2,Mail!$A25)),"",MID(Mail!$A25,FIND(K$2,Mail!$A25)+LEN(K$2)+1,IF(ISERROR(FIND("■",Mail!$A25,FIND(K$2,Mail!$A25)+LEN(K$2))-FIND(K$2,Mail!$A25)-LEN(K$2)),LEN(Mail!$A25)-60-FIND(K$2,Mail!$A25)-LEN(K$2),FIND("■",Mail!$A25,FIND(K$2,Mail!$A25)+LEN(K$2))-FIND(K$2,Mail!$A25)-LEN(K$2)-1))))</f>
        <v/>
      </c>
      <c r="L27" s="8" t="str">
        <f>TRIM(IF(ISERROR(FIND(L$2,Mail!$A25)),"",MID(Mail!$A25,FIND(L$2,Mail!$A25)+LEN(L$2)+1,IF(ISERROR(FIND("■",Mail!$A25,FIND(L$2,Mail!$A25)+LEN(L$2))-FIND(L$2,Mail!$A25)-LEN(L$2)),LEN(Mail!$A25)-60-FIND(L$2,Mail!$A25)-LEN(L$2),FIND("■",Mail!$A25,FIND(L$2,Mail!$A25)+LEN(L$2))-FIND(L$2,Mail!$A25)-LEN(L$2)-1))))</f>
        <v/>
      </c>
      <c r="M27" s="8" t="str">
        <f>TRIM(CLEAN(IF(ISERROR(FIND(M$2,Mail!$A25)),"",MID(Mail!$A25,FIND(M$2,Mail!$A25)+LEN(M$2)+1,IF(ISERROR(FIND("■",Mail!$A25,FIND(M$2,Mail!$A25)+LEN(M$2))-FIND(M$2,Mail!$A25)-LEN(M$2)),LEN(Mail!$A25)-60-FIND(M$2,Mail!$A25)-LEN(M$2),FIND("■",Mail!$A25,FIND(M$2,Mail!$A25)+LEN(M$2))-FIND(M$2,Mail!$A25)-LEN(M$2)-1)))))</f>
        <v/>
      </c>
      <c r="N27" s="8" t="str">
        <f>TRIM(CLEAN(IF(ISERROR(FIND(N$2,Mail!$A25)),"",MID(Mail!$A25,FIND(N$2,Mail!$A25)+LEN(N$2)+1,IF(ISERROR(FIND("■",Mail!$A25,FIND(N$2,Mail!$A25)+LEN(N$2))-FIND(N$2,Mail!$A25)-LEN(N$2)),LEN(Mail!$A25)-60-FIND(N$2,Mail!$A25)-LEN(N$2),FIND("■",Mail!$A25,FIND(N$2,Mail!$A25)+LEN(N$2))-FIND(N$2,Mail!$A25)-LEN(N$2)-1)))))</f>
        <v/>
      </c>
      <c r="O27" s="8" t="str">
        <f>TRIM(CLEAN(IF(ISERROR(FIND(O$2,Mail!$A25)),"",MID(Mail!$A25,FIND(O$2,Mail!$A25)+LEN(O$2)+1,IF(ISERROR(FIND("■",Mail!$A25,FIND(O$2,Mail!$A25)+LEN(O$2))-FIND(O$2,Mail!$A25)-LEN(O$2)),LEN(Mail!$A25)-60-FIND(O$2,Mail!$A25)-LEN(O$2),FIND("■",Mail!$A25,FIND(O$2,Mail!$A25)+LEN(O$2))-FIND(O$2,Mail!$A25)-LEN(O$2)-1)))))</f>
        <v/>
      </c>
      <c r="P27" s="8" t="str">
        <f>TRIM(CLEAN(IF(ISERROR(FIND(P$2,Mail!$A25)),"",MID(Mail!$A25,FIND(P$2,Mail!$A25)+LEN(P$2)+1,IF(ISERROR(FIND("■",Mail!$A25,FIND(P$2,Mail!$A25)+LEN(P$2))-FIND(P$2,Mail!$A25)-LEN(P$2)),LEN(Mail!$A25)-60-FIND(P$2,Mail!$A25)-LEN(P$2),FIND("■",Mail!$A25,FIND(P$2,Mail!$A25)+LEN(P$2))-FIND(P$2,Mail!$A25)-LEN(P$2)-1)))))</f>
        <v/>
      </c>
      <c r="Q27" s="8" t="str">
        <f>TRIM(CLEAN(IF(ISERROR(FIND(Q$2,Mail!$A25)),"",MID(Mail!$A25,FIND(Q$2,Mail!$A25)+LEN(Q$2)+1,IF(ISERROR(FIND("■",Mail!$A25,FIND(Q$2,Mail!$A25)+LEN(Q$2))-FIND(Q$2,Mail!$A25)-LEN(Q$2)),LEN(Mail!$A25)-60-FIND(Q$2,Mail!$A25)-LEN(Q$2),FIND("■",Mail!$A25,FIND(Q$2,Mail!$A25)+LEN(Q$2))-FIND(Q$2,Mail!$A25)-LEN(Q$2)-1)))))</f>
        <v/>
      </c>
      <c r="R27" s="8" t="str">
        <f>TRIM(CLEAN(IF(ISERROR(FIND(R$2,Mail!$A25)),"",MID(Mail!$A25,FIND(R$2,Mail!$A25)+LEN(R$2)+1,IF(ISERROR(FIND("■",Mail!$A25,FIND(R$2,Mail!$A25)+LEN(R$2))-FIND(R$2,Mail!$A25)-LEN(R$2)),LEN(Mail!$A25)-60-FIND(R$2,Mail!$A25)-LEN(R$2),FIND("■",Mail!$A25,FIND(R$2,Mail!$A25)+LEN(R$2))-FIND(R$2,Mail!$A25)-LEN(R$2)-1)))))</f>
        <v/>
      </c>
      <c r="S27" s="8" t="str">
        <f>TRIM(CLEAN(IF(ISERROR(FIND(S$2,Mail!$A25)),"",MID(Mail!$A25,FIND(S$2,Mail!$A25)+LEN(S$2)+1,IF(ISERROR(FIND("■",Mail!$A25,FIND(S$2,Mail!$A25)+LEN(S$2))-FIND(S$2,Mail!$A25)-LEN(S$2)),LEN(Mail!$A25)-60-FIND(S$2,Mail!$A25)-LEN(S$2),FIND("■",Mail!$A25,FIND(S$2,Mail!$A25)+LEN(S$2))-FIND(S$2,Mail!$A25)-LEN(S$2)-1)))))</f>
        <v/>
      </c>
      <c r="T27" s="8" t="str">
        <f>TRIM(CLEAN(IF(ISERROR(FIND(T$2,Mail!$A25)),"",MID(Mail!$A25,FIND(T$2,Mail!$A25)+LEN(T$2)+1,IF(ISERROR(FIND("■",Mail!$A25,FIND(T$2,Mail!$A25)+LEN(T$2))-FIND(T$2,Mail!$A25)-LEN(T$2)),LEN(Mail!$A25)-60-FIND(T$2,Mail!$A25)-LEN(T$2),FIND("■",Mail!$A25,FIND(T$2,Mail!$A25)+LEN(T$2))-FIND(T$2,Mail!$A25)-LEN(T$2)-1)))))</f>
        <v/>
      </c>
      <c r="U27" s="8" t="str">
        <f>TRIM(CLEAN(IF(ISERROR(FIND(U$2,Mail!$A25)),"",MID(Mail!$A25,FIND(U$2,Mail!$A25)+LEN(U$2)+1,IF(ISERROR(FIND("■",Mail!$A25,FIND(U$2,Mail!$A25)+LEN(U$2))-FIND(U$2,Mail!$A25)-LEN(U$2)),LEN(Mail!$A25)-60-FIND(U$2,Mail!$A25)-LEN(U$2),FIND("■",Mail!$A25,FIND(U$2,Mail!$A25)+LEN(U$2))-FIND(U$2,Mail!$A25)-LEN(U$2)-1)))))</f>
        <v/>
      </c>
      <c r="V27" s="8" t="str">
        <f>TRIM(CLEAN(IF(ISERROR(FIND(V$2,Mail!$A25)),"",MID(Mail!$A25,FIND(V$2,Mail!$A25)+LEN(V$2)+1,IF(ISERROR(FIND("■",Mail!$A25,FIND(V$2,Mail!$A25)+LEN(V$2))-FIND(V$2,Mail!$A25)-LEN(V$2)),LEN(Mail!$A25)-60-FIND(V$2,Mail!$A25)-LEN(V$2),FIND("■",Mail!$A25,FIND(V$2,Mail!$A25)+LEN(V$2))-FIND(V$2,Mail!$A25)-LEN(V$2)-1)))))</f>
        <v/>
      </c>
      <c r="W27" s="8" t="str">
        <f>TRIM(CLEAN(IF(ISERROR(FIND(W$2,Mail!$A25)),"",MID(Mail!$A25,FIND(W$2,Mail!$A25)+LEN(W$2)+1,IF(ISERROR(FIND("■",Mail!$A25,FIND(W$2,Mail!$A25)+LEN(W$2))-FIND(W$2,Mail!$A25)-LEN(W$2)),LEN(Mail!$A25)-60-FIND(W$2,Mail!$A25)-LEN(W$2),FIND("■",Mail!$A25,FIND(W$2,Mail!$A25)+LEN(W$2))-FIND(W$2,Mail!$A25)-LEN(W$2)-1)))))</f>
        <v/>
      </c>
      <c r="X27" s="8" t="str">
        <f>TRIM(IF(ISERROR(FIND(X$2,Mail!$A25)),"",MID(Mail!$A25,FIND(X$2,Mail!$A25)+LEN(X$2)+1,IF(ISERROR(FIND("■",Mail!$A25,FIND(X$2,Mail!$A25)+LEN(X$2))-FIND(X$2,Mail!$A25)-LEN(X$2)),LEN(Mail!$A25)-60-FIND(X$2,Mail!$A25)-LEN(X$2),FIND("■",Mail!$A25,FIND(X$2,Mail!$A25)+LEN(X$2))-FIND(X$2,Mail!$A25)-LEN(X$2)-1))))</f>
        <v/>
      </c>
      <c r="Y27" s="8" t="str">
        <f>TRIM(CLEAN(IF(ISERROR(FIND(Y$2,Mail!$A25)),"",MID(Mail!$A25,FIND(Y$2,Mail!$A25)+LEN(Y$2)+1,IF(ISERROR(FIND("■",Mail!$A25,FIND(Y$2,Mail!$A25)+LEN(Y$2))-FIND(Y$2,Mail!$A25)-LEN(Y$2)),LEN(Mail!$A25)-60-FIND(Y$2,Mail!$A25)-LEN(Y$2),FIND("■",Mail!$A25,FIND(Y$2,Mail!$A25)+LEN(Y$2))-FIND(Y$2,Mail!$A25)-LEN(Y$2)-1)))))</f>
        <v/>
      </c>
      <c r="Z27" s="8" t="str">
        <f>TRIM(CLEAN(IF(ISERROR(FIND(Z$2,Mail!$A25)),"",MID(Mail!$A25,FIND(Z$2,Mail!$A25)+LEN(Z$2)+1,IF(ISERROR(FIND("■",Mail!$A25,FIND(Z$2,Mail!$A25)+LEN(Z$2))-FIND(Z$2,Mail!$A25)-LEN(Z$2)),LEN(Mail!$A25)-60-FIND(Z$2,Mail!$A25)-LEN(Z$2),FIND("■",Mail!$A25,FIND(Z$2,Mail!$A25)+LEN(Z$2))-FIND(Z$2,Mail!$A25)-LEN(Z$2)-1)))))</f>
        <v/>
      </c>
      <c r="AA27" s="8" t="str">
        <f>TRIM(CLEAN(IF(ISERROR(FIND(AA$2,Mail!$A25)),"",MID(Mail!$A25,FIND(AA$2,Mail!$A25)+LEN(AA$2)+1,IF(ISERROR(FIND("■",Mail!$A25,FIND(AA$2,Mail!$A25)+LEN(AA$2))-FIND(AA$2,Mail!$A25)-LEN(AA$2)),LEN(Mail!$A25)-60-FIND(AA$2,Mail!$A25)-LEN(AA$2),FIND("■",Mail!$A25,FIND(AA$2,Mail!$A25)+LEN(AA$2))-FIND(AA$2,Mail!$A25)-LEN(AA$2)-1)))))</f>
        <v/>
      </c>
      <c r="AB27" s="8" t="str">
        <f>TRIM(CLEAN(IF(ISERROR(FIND(AB$2,Mail!$A25)),"",MID(Mail!$A25,FIND(AB$2,Mail!$A25)+LEN(AB$2)+1,IF(ISERROR(FIND("■",Mail!$A25,FIND(AB$2,Mail!$A25)+LEN(AB$2))-FIND(AB$2,Mail!$A25)-LEN(AB$2)),LEN(Mail!$A25)-60-FIND(AB$2,Mail!$A25)-LEN(AB$2),FIND("■",Mail!$A25,FIND(AB$2,Mail!$A25)+LEN(AB$2))-FIND(AB$2,Mail!$A25)-LEN(AB$2)-1)))))</f>
        <v/>
      </c>
      <c r="AC27" s="8" t="str">
        <f>TRIM(CLEAN(IF(ISERROR(FIND(AC$2,Mail!$A25)),"",MID(Mail!$A25,FIND(AC$2,Mail!$A25)+LEN(AC$2)+1,IF(ISERROR(FIND("■",Mail!$A25,FIND(AC$2,Mail!$A25)+LEN(AC$2))-FIND(AC$2,Mail!$A25)-LEN(AC$2)),LEN(Mail!$A25)-60-FIND(AC$2,Mail!$A25)-LEN(AC$2),FIND("■",Mail!$A25,FIND(AC$2,Mail!$A25)+LEN(AC$2))-FIND(AC$2,Mail!$A25)-LEN(AC$2)-1)))))</f>
        <v/>
      </c>
      <c r="AD27" s="8" t="str">
        <f>TRIM(CLEAN(IF(ISERROR(FIND(AD$2,Mail!$A25)),"",MID(Mail!$A25,FIND(AD$2,Mail!$A25)+LEN(AD$2)+1,IF(ISERROR(FIND("■",Mail!$A25,FIND(AD$2,Mail!$A25)+LEN(AD$2))-FIND(AD$2,Mail!$A25)-LEN(AD$2)),LEN(Mail!$A25)-60-FIND(AD$2,Mail!$A25)-LEN(AD$2),FIND("■",Mail!$A25,FIND(AD$2,Mail!$A25)+LEN(AD$2))-FIND(AD$2,Mail!$A25)-LEN(AD$2)-1)))))</f>
        <v/>
      </c>
      <c r="AE27" s="8" t="str">
        <f>TRIM(CLEAN(IF(ISERROR(FIND(AE$2,Mail!$A25)),"",MID(Mail!$A25,FIND(AE$2,Mail!$A25)+LEN(AE$2)+1,IF(ISERROR(FIND("■",Mail!$A25,FIND(AE$2,Mail!$A25)+LEN(AE$2))-FIND(AE$2,Mail!$A25)-LEN(AE$2)),LEN(Mail!$A25)-60-FIND(AE$2,Mail!$A25)-LEN(AE$2),FIND("■",Mail!$A25,FIND(AE$2,Mail!$A25)+LEN(AE$2))-FIND(AE$2,Mail!$A25)-LEN(AE$2)-1)))))</f>
        <v/>
      </c>
      <c r="AF27" s="8" t="str">
        <f>TRIM(CLEAN(IF(ISERROR(FIND(AF$2,Mail!$A25)),"",MID(Mail!$A25,FIND(AF$2,Mail!$A25)+LEN(AF$2)+1,IF(ISERROR(FIND("■",Mail!$A25,FIND(AF$2,Mail!$A25)+LEN(AF$2))-FIND(AF$2,Mail!$A25)-LEN(AF$2)),LEN(Mail!$A25)-60-FIND(AF$2,Mail!$A25)-LEN(AF$2),FIND("■",Mail!$A25,FIND(AF$2,Mail!$A25)+LEN(AF$2))-FIND(AF$2,Mail!$A25)-LEN(AF$2)-1)))))</f>
        <v/>
      </c>
      <c r="AG27" s="8" t="str">
        <f>TRIM(IF(ISERROR(FIND(AG$2,Mail!$A25)),"",MID(Mail!$A25,FIND(AG$2,Mail!$A25)+LEN(AG$2)+1,IF(ISERROR(FIND("■",Mail!$A25,FIND(AG$2,Mail!$A25)+LEN(AG$2))-FIND(AG$2,Mail!$A25)-LEN(AG$2)),LEN(Mail!$A25)-60-FIND(AG$2,Mail!$A25)-LEN(AG$2),FIND("■",Mail!$A25,FIND(AG$2,Mail!$A25)+LEN(AG$2))-FIND(AG$2,Mail!$A25)-LEN(AG$2)-1))))</f>
        <v/>
      </c>
      <c r="AH27" s="8" t="str">
        <f>TRIM(IF(ISERROR(FIND(AH$2,Mail!$A25)),"",MID(Mail!$A25,FIND(AH$2,Mail!$A25)+LEN(AH$2)+1,IF(ISERROR(FIND("■",Mail!$A25,FIND(AH$2,Mail!$A25)+LEN(AH$2))-FIND(AH$2,Mail!$A25)-LEN(AH$2)),LEN(Mail!$A25)-60-FIND(AH$2,Mail!$A25)-LEN(AH$2),FIND("■",Mail!$A25,FIND(AH$2,Mail!$A25)+LEN(AH$2))-FIND(AH$2,Mail!$A25)-LEN(AH$2)-1))))</f>
        <v/>
      </c>
      <c r="AI27" s="8" t="str">
        <f>TRIM(IF(ISERROR(FIND(AI$2,Mail!$A25)),"",MID(Mail!$A25,FIND(AI$2,Mail!$A25)+LEN(AI$2)+1,IF(ISERROR(FIND("■",Mail!$A25,FIND(AI$2,Mail!$A25)+LEN(AI$2))-FIND(AI$2,Mail!$A25)-LEN(AI$2)),LEN(Mail!$A25)-60-FIND(AI$2,Mail!$A25)-LEN(AI$2),FIND("■",Mail!$A25,FIND(AI$2,Mail!$A25)+LEN(AI$2))-FIND(AI$2,Mail!$A25)-LEN(AI$2)-1))))</f>
        <v/>
      </c>
    </row>
    <row r="28" spans="1:35" s="8" customFormat="1" x14ac:dyDescent="0.15">
      <c r="A28" s="9" t="str">
        <f t="shared" si="1"/>
        <v/>
      </c>
      <c r="B28" s="8" t="str">
        <f>CLEAN(SUBSTITUTE(IF(ISERROR(FIND("yokohama",Mail!$A26)),"",MID(Mail!$A26,FIND("yokohama",Mail!$A26)+LEN("yokohama")+1,FIND("件目",Mail!$A26,FIND("yokohama",Mail!$A26))-(FIND("yokohama",Mail!$A26)+LEN("yokohama")+1)))," ",""))</f>
        <v/>
      </c>
      <c r="C28" s="9" t="str">
        <f t="shared" si="0"/>
        <v/>
      </c>
      <c r="D28" s="9" t="str">
        <f t="shared" si="2"/>
        <v/>
      </c>
      <c r="E28" s="8" t="str">
        <f t="shared" si="3"/>
        <v/>
      </c>
      <c r="F28" s="8" t="str">
        <f>TRIM(CLEAN(IF(ISERROR(FIND(F$2,Mail!$A26)),"",MID(Mail!$A26,FIND(F$2,Mail!$A26)+LEN(F$2)+1,IF(ISERROR(FIND("■",Mail!$A26,FIND(F$2,Mail!$A26)+LEN(F$2))-FIND(F$2,Mail!$A26)-LEN(F$2)),LEN(Mail!$A26)-60-FIND(F$2,Mail!$A26)-LEN(F$2),FIND("■",Mail!$A26,FIND(F$2,Mail!$A26)+LEN(F$2))-FIND(F$2,Mail!$A26)-LEN(F$2)-1)))))</f>
        <v/>
      </c>
      <c r="G28" s="8" t="str">
        <f>TRIM(CLEAN(IF(ISERROR(FIND(G$2,Mail!$A26)),"",MID(Mail!$A26,FIND(G$2,Mail!$A26)+LEN(G$2)+1,IF(ISERROR(FIND("■",Mail!$A26,FIND(G$2,Mail!$A26)+LEN(G$2))-FIND(G$2,Mail!$A26)-LEN(G$2)),LEN(Mail!$A26)-60-FIND(G$2,Mail!$A26)-LEN(G$2),FIND("■",Mail!$A26,FIND(G$2,Mail!$A26)+LEN(G$2))-FIND(G$2,Mail!$A26)-LEN(G$2)-1)))))</f>
        <v/>
      </c>
      <c r="H28" s="8" t="str">
        <f>TRIM(CLEAN(IF(ISERROR(FIND(H$2,Mail!$A26)),"",MID(Mail!$A26,FIND(H$2,Mail!$A26)+LEN(H$2)+1,IF(ISERROR(FIND("■",Mail!$A26,FIND(H$2,Mail!$A26)+LEN(H$2))-FIND(H$2,Mail!$A26)-LEN(H$2)),LEN(Mail!$A26)-60-FIND(H$2,Mail!$A26)-LEN(H$2),FIND("■",Mail!$A26,FIND(H$2,Mail!$A26)+LEN(H$2))-FIND(H$2,Mail!$A26)-LEN(H$2)-1)))))</f>
        <v/>
      </c>
      <c r="I28" s="8" t="str">
        <f>TRIM(CLEAN(IF(ISERROR(FIND(I$2,Mail!$A26)),"",MID(Mail!$A26,FIND(I$2,Mail!$A26)+LEN(I$2)+1,IF(ISERROR(FIND("■",Mail!$A26,FIND(I$2,Mail!$A26)+LEN(I$2))-FIND(I$2,Mail!$A26)-LEN(I$2)),LEN(Mail!$A26)-60-FIND(I$2,Mail!$A26)-LEN(I$2),FIND("■",Mail!$A26,FIND(I$2,Mail!$A26)+LEN(I$2))-FIND(I$2,Mail!$A26)-LEN(I$2)-1)))))</f>
        <v/>
      </c>
      <c r="J28" s="8" t="str">
        <f>TRIM(IF(ISERROR(FIND(J$2,Mail!$A26)),"",MID(Mail!$A26,FIND(J$2,Mail!$A26)+LEN(J$2)+1,IF(ISERROR(FIND("■",Mail!$A26,FIND(J$2,Mail!$A26)+LEN(J$2))-FIND(J$2,Mail!$A26)-LEN(J$2)),LEN(Mail!$A26)-60-FIND(J$2,Mail!$A26)-LEN(J$2),FIND("■",Mail!$A26,FIND(J$2,Mail!$A26)+LEN(J$2))-FIND(J$2,Mail!$A26)-LEN(J$2)-1))))</f>
        <v/>
      </c>
      <c r="K28" s="8" t="str">
        <f>TRIM(IF(ISERROR(FIND(K$2,Mail!$A26)),"",MID(Mail!$A26,FIND(K$2,Mail!$A26)+LEN(K$2)+1,IF(ISERROR(FIND("■",Mail!$A26,FIND(K$2,Mail!$A26)+LEN(K$2))-FIND(K$2,Mail!$A26)-LEN(K$2)),LEN(Mail!$A26)-60-FIND(K$2,Mail!$A26)-LEN(K$2),FIND("■",Mail!$A26,FIND(K$2,Mail!$A26)+LEN(K$2))-FIND(K$2,Mail!$A26)-LEN(K$2)-1))))</f>
        <v/>
      </c>
      <c r="L28" s="8" t="str">
        <f>TRIM(IF(ISERROR(FIND(L$2,Mail!$A26)),"",MID(Mail!$A26,FIND(L$2,Mail!$A26)+LEN(L$2)+1,IF(ISERROR(FIND("■",Mail!$A26,FIND(L$2,Mail!$A26)+LEN(L$2))-FIND(L$2,Mail!$A26)-LEN(L$2)),LEN(Mail!$A26)-60-FIND(L$2,Mail!$A26)-LEN(L$2),FIND("■",Mail!$A26,FIND(L$2,Mail!$A26)+LEN(L$2))-FIND(L$2,Mail!$A26)-LEN(L$2)-1))))</f>
        <v/>
      </c>
      <c r="M28" s="8" t="str">
        <f>TRIM(CLEAN(IF(ISERROR(FIND(M$2,Mail!$A26)),"",MID(Mail!$A26,FIND(M$2,Mail!$A26)+LEN(M$2)+1,IF(ISERROR(FIND("■",Mail!$A26,FIND(M$2,Mail!$A26)+LEN(M$2))-FIND(M$2,Mail!$A26)-LEN(M$2)),LEN(Mail!$A26)-60-FIND(M$2,Mail!$A26)-LEN(M$2),FIND("■",Mail!$A26,FIND(M$2,Mail!$A26)+LEN(M$2))-FIND(M$2,Mail!$A26)-LEN(M$2)-1)))))</f>
        <v/>
      </c>
      <c r="N28" s="8" t="str">
        <f>TRIM(CLEAN(IF(ISERROR(FIND(N$2,Mail!$A26)),"",MID(Mail!$A26,FIND(N$2,Mail!$A26)+LEN(N$2)+1,IF(ISERROR(FIND("■",Mail!$A26,FIND(N$2,Mail!$A26)+LEN(N$2))-FIND(N$2,Mail!$A26)-LEN(N$2)),LEN(Mail!$A26)-60-FIND(N$2,Mail!$A26)-LEN(N$2),FIND("■",Mail!$A26,FIND(N$2,Mail!$A26)+LEN(N$2))-FIND(N$2,Mail!$A26)-LEN(N$2)-1)))))</f>
        <v/>
      </c>
      <c r="O28" s="8" t="str">
        <f>TRIM(CLEAN(IF(ISERROR(FIND(O$2,Mail!$A26)),"",MID(Mail!$A26,FIND(O$2,Mail!$A26)+LEN(O$2)+1,IF(ISERROR(FIND("■",Mail!$A26,FIND(O$2,Mail!$A26)+LEN(O$2))-FIND(O$2,Mail!$A26)-LEN(O$2)),LEN(Mail!$A26)-60-FIND(O$2,Mail!$A26)-LEN(O$2),FIND("■",Mail!$A26,FIND(O$2,Mail!$A26)+LEN(O$2))-FIND(O$2,Mail!$A26)-LEN(O$2)-1)))))</f>
        <v/>
      </c>
      <c r="P28" s="8" t="str">
        <f>TRIM(CLEAN(IF(ISERROR(FIND(P$2,Mail!$A26)),"",MID(Mail!$A26,FIND(P$2,Mail!$A26)+LEN(P$2)+1,IF(ISERROR(FIND("■",Mail!$A26,FIND(P$2,Mail!$A26)+LEN(P$2))-FIND(P$2,Mail!$A26)-LEN(P$2)),LEN(Mail!$A26)-60-FIND(P$2,Mail!$A26)-LEN(P$2),FIND("■",Mail!$A26,FIND(P$2,Mail!$A26)+LEN(P$2))-FIND(P$2,Mail!$A26)-LEN(P$2)-1)))))</f>
        <v/>
      </c>
      <c r="Q28" s="8" t="str">
        <f>TRIM(CLEAN(IF(ISERROR(FIND(Q$2,Mail!$A26)),"",MID(Mail!$A26,FIND(Q$2,Mail!$A26)+LEN(Q$2)+1,IF(ISERROR(FIND("■",Mail!$A26,FIND(Q$2,Mail!$A26)+LEN(Q$2))-FIND(Q$2,Mail!$A26)-LEN(Q$2)),LEN(Mail!$A26)-60-FIND(Q$2,Mail!$A26)-LEN(Q$2),FIND("■",Mail!$A26,FIND(Q$2,Mail!$A26)+LEN(Q$2))-FIND(Q$2,Mail!$A26)-LEN(Q$2)-1)))))</f>
        <v/>
      </c>
      <c r="R28" s="8" t="str">
        <f>TRIM(CLEAN(IF(ISERROR(FIND(R$2,Mail!$A26)),"",MID(Mail!$A26,FIND(R$2,Mail!$A26)+LEN(R$2)+1,IF(ISERROR(FIND("■",Mail!$A26,FIND(R$2,Mail!$A26)+LEN(R$2))-FIND(R$2,Mail!$A26)-LEN(R$2)),LEN(Mail!$A26)-60-FIND(R$2,Mail!$A26)-LEN(R$2),FIND("■",Mail!$A26,FIND(R$2,Mail!$A26)+LEN(R$2))-FIND(R$2,Mail!$A26)-LEN(R$2)-1)))))</f>
        <v/>
      </c>
      <c r="S28" s="8" t="str">
        <f>TRIM(CLEAN(IF(ISERROR(FIND(S$2,Mail!$A26)),"",MID(Mail!$A26,FIND(S$2,Mail!$A26)+LEN(S$2)+1,IF(ISERROR(FIND("■",Mail!$A26,FIND(S$2,Mail!$A26)+LEN(S$2))-FIND(S$2,Mail!$A26)-LEN(S$2)),LEN(Mail!$A26)-60-FIND(S$2,Mail!$A26)-LEN(S$2),FIND("■",Mail!$A26,FIND(S$2,Mail!$A26)+LEN(S$2))-FIND(S$2,Mail!$A26)-LEN(S$2)-1)))))</f>
        <v/>
      </c>
      <c r="T28" s="8" t="str">
        <f>TRIM(CLEAN(IF(ISERROR(FIND(T$2,Mail!$A26)),"",MID(Mail!$A26,FIND(T$2,Mail!$A26)+LEN(T$2)+1,IF(ISERROR(FIND("■",Mail!$A26,FIND(T$2,Mail!$A26)+LEN(T$2))-FIND(T$2,Mail!$A26)-LEN(T$2)),LEN(Mail!$A26)-60-FIND(T$2,Mail!$A26)-LEN(T$2),FIND("■",Mail!$A26,FIND(T$2,Mail!$A26)+LEN(T$2))-FIND(T$2,Mail!$A26)-LEN(T$2)-1)))))</f>
        <v/>
      </c>
      <c r="U28" s="8" t="str">
        <f>TRIM(CLEAN(IF(ISERROR(FIND(U$2,Mail!$A26)),"",MID(Mail!$A26,FIND(U$2,Mail!$A26)+LEN(U$2)+1,IF(ISERROR(FIND("■",Mail!$A26,FIND(U$2,Mail!$A26)+LEN(U$2))-FIND(U$2,Mail!$A26)-LEN(U$2)),LEN(Mail!$A26)-60-FIND(U$2,Mail!$A26)-LEN(U$2),FIND("■",Mail!$A26,FIND(U$2,Mail!$A26)+LEN(U$2))-FIND(U$2,Mail!$A26)-LEN(U$2)-1)))))</f>
        <v/>
      </c>
      <c r="V28" s="8" t="str">
        <f>TRIM(CLEAN(IF(ISERROR(FIND(V$2,Mail!$A26)),"",MID(Mail!$A26,FIND(V$2,Mail!$A26)+LEN(V$2)+1,IF(ISERROR(FIND("■",Mail!$A26,FIND(V$2,Mail!$A26)+LEN(V$2))-FIND(V$2,Mail!$A26)-LEN(V$2)),LEN(Mail!$A26)-60-FIND(V$2,Mail!$A26)-LEN(V$2),FIND("■",Mail!$A26,FIND(V$2,Mail!$A26)+LEN(V$2))-FIND(V$2,Mail!$A26)-LEN(V$2)-1)))))</f>
        <v/>
      </c>
      <c r="W28" s="8" t="str">
        <f>TRIM(CLEAN(IF(ISERROR(FIND(W$2,Mail!$A26)),"",MID(Mail!$A26,FIND(W$2,Mail!$A26)+LEN(W$2)+1,IF(ISERROR(FIND("■",Mail!$A26,FIND(W$2,Mail!$A26)+LEN(W$2))-FIND(W$2,Mail!$A26)-LEN(W$2)),LEN(Mail!$A26)-60-FIND(W$2,Mail!$A26)-LEN(W$2),FIND("■",Mail!$A26,FIND(W$2,Mail!$A26)+LEN(W$2))-FIND(W$2,Mail!$A26)-LEN(W$2)-1)))))</f>
        <v/>
      </c>
      <c r="X28" s="8" t="str">
        <f>TRIM(IF(ISERROR(FIND(X$2,Mail!$A26)),"",MID(Mail!$A26,FIND(X$2,Mail!$A26)+LEN(X$2)+1,IF(ISERROR(FIND("■",Mail!$A26,FIND(X$2,Mail!$A26)+LEN(X$2))-FIND(X$2,Mail!$A26)-LEN(X$2)),LEN(Mail!$A26)-60-FIND(X$2,Mail!$A26)-LEN(X$2),FIND("■",Mail!$A26,FIND(X$2,Mail!$A26)+LEN(X$2))-FIND(X$2,Mail!$A26)-LEN(X$2)-1))))</f>
        <v/>
      </c>
      <c r="Y28" s="8" t="str">
        <f>TRIM(CLEAN(IF(ISERROR(FIND(Y$2,Mail!$A26)),"",MID(Mail!$A26,FIND(Y$2,Mail!$A26)+LEN(Y$2)+1,IF(ISERROR(FIND("■",Mail!$A26,FIND(Y$2,Mail!$A26)+LEN(Y$2))-FIND(Y$2,Mail!$A26)-LEN(Y$2)),LEN(Mail!$A26)-60-FIND(Y$2,Mail!$A26)-LEN(Y$2),FIND("■",Mail!$A26,FIND(Y$2,Mail!$A26)+LEN(Y$2))-FIND(Y$2,Mail!$A26)-LEN(Y$2)-1)))))</f>
        <v/>
      </c>
      <c r="Z28" s="8" t="str">
        <f>TRIM(CLEAN(IF(ISERROR(FIND(Z$2,Mail!$A26)),"",MID(Mail!$A26,FIND(Z$2,Mail!$A26)+LEN(Z$2)+1,IF(ISERROR(FIND("■",Mail!$A26,FIND(Z$2,Mail!$A26)+LEN(Z$2))-FIND(Z$2,Mail!$A26)-LEN(Z$2)),LEN(Mail!$A26)-60-FIND(Z$2,Mail!$A26)-LEN(Z$2),FIND("■",Mail!$A26,FIND(Z$2,Mail!$A26)+LEN(Z$2))-FIND(Z$2,Mail!$A26)-LEN(Z$2)-1)))))</f>
        <v/>
      </c>
      <c r="AA28" s="8" t="str">
        <f>TRIM(CLEAN(IF(ISERROR(FIND(AA$2,Mail!$A26)),"",MID(Mail!$A26,FIND(AA$2,Mail!$A26)+LEN(AA$2)+1,IF(ISERROR(FIND("■",Mail!$A26,FIND(AA$2,Mail!$A26)+LEN(AA$2))-FIND(AA$2,Mail!$A26)-LEN(AA$2)),LEN(Mail!$A26)-60-FIND(AA$2,Mail!$A26)-LEN(AA$2),FIND("■",Mail!$A26,FIND(AA$2,Mail!$A26)+LEN(AA$2))-FIND(AA$2,Mail!$A26)-LEN(AA$2)-1)))))</f>
        <v/>
      </c>
      <c r="AB28" s="8" t="str">
        <f>TRIM(CLEAN(IF(ISERROR(FIND(AB$2,Mail!$A26)),"",MID(Mail!$A26,FIND(AB$2,Mail!$A26)+LEN(AB$2)+1,IF(ISERROR(FIND("■",Mail!$A26,FIND(AB$2,Mail!$A26)+LEN(AB$2))-FIND(AB$2,Mail!$A26)-LEN(AB$2)),LEN(Mail!$A26)-60-FIND(AB$2,Mail!$A26)-LEN(AB$2),FIND("■",Mail!$A26,FIND(AB$2,Mail!$A26)+LEN(AB$2))-FIND(AB$2,Mail!$A26)-LEN(AB$2)-1)))))</f>
        <v/>
      </c>
      <c r="AC28" s="8" t="str">
        <f>TRIM(CLEAN(IF(ISERROR(FIND(AC$2,Mail!$A26)),"",MID(Mail!$A26,FIND(AC$2,Mail!$A26)+LEN(AC$2)+1,IF(ISERROR(FIND("■",Mail!$A26,FIND(AC$2,Mail!$A26)+LEN(AC$2))-FIND(AC$2,Mail!$A26)-LEN(AC$2)),LEN(Mail!$A26)-60-FIND(AC$2,Mail!$A26)-LEN(AC$2),FIND("■",Mail!$A26,FIND(AC$2,Mail!$A26)+LEN(AC$2))-FIND(AC$2,Mail!$A26)-LEN(AC$2)-1)))))</f>
        <v/>
      </c>
      <c r="AD28" s="8" t="str">
        <f>TRIM(CLEAN(IF(ISERROR(FIND(AD$2,Mail!$A26)),"",MID(Mail!$A26,FIND(AD$2,Mail!$A26)+LEN(AD$2)+1,IF(ISERROR(FIND("■",Mail!$A26,FIND(AD$2,Mail!$A26)+LEN(AD$2))-FIND(AD$2,Mail!$A26)-LEN(AD$2)),LEN(Mail!$A26)-60-FIND(AD$2,Mail!$A26)-LEN(AD$2),FIND("■",Mail!$A26,FIND(AD$2,Mail!$A26)+LEN(AD$2))-FIND(AD$2,Mail!$A26)-LEN(AD$2)-1)))))</f>
        <v/>
      </c>
      <c r="AE28" s="8" t="str">
        <f>TRIM(CLEAN(IF(ISERROR(FIND(AE$2,Mail!$A26)),"",MID(Mail!$A26,FIND(AE$2,Mail!$A26)+LEN(AE$2)+1,IF(ISERROR(FIND("■",Mail!$A26,FIND(AE$2,Mail!$A26)+LEN(AE$2))-FIND(AE$2,Mail!$A26)-LEN(AE$2)),LEN(Mail!$A26)-60-FIND(AE$2,Mail!$A26)-LEN(AE$2),FIND("■",Mail!$A26,FIND(AE$2,Mail!$A26)+LEN(AE$2))-FIND(AE$2,Mail!$A26)-LEN(AE$2)-1)))))</f>
        <v/>
      </c>
      <c r="AF28" s="8" t="str">
        <f>TRIM(CLEAN(IF(ISERROR(FIND(AF$2,Mail!$A26)),"",MID(Mail!$A26,FIND(AF$2,Mail!$A26)+LEN(AF$2)+1,IF(ISERROR(FIND("■",Mail!$A26,FIND(AF$2,Mail!$A26)+LEN(AF$2))-FIND(AF$2,Mail!$A26)-LEN(AF$2)),LEN(Mail!$A26)-60-FIND(AF$2,Mail!$A26)-LEN(AF$2),FIND("■",Mail!$A26,FIND(AF$2,Mail!$A26)+LEN(AF$2))-FIND(AF$2,Mail!$A26)-LEN(AF$2)-1)))))</f>
        <v/>
      </c>
      <c r="AG28" s="8" t="str">
        <f>TRIM(IF(ISERROR(FIND(AG$2,Mail!$A26)),"",MID(Mail!$A26,FIND(AG$2,Mail!$A26)+LEN(AG$2)+1,IF(ISERROR(FIND("■",Mail!$A26,FIND(AG$2,Mail!$A26)+LEN(AG$2))-FIND(AG$2,Mail!$A26)-LEN(AG$2)),LEN(Mail!$A26)-60-FIND(AG$2,Mail!$A26)-LEN(AG$2),FIND("■",Mail!$A26,FIND(AG$2,Mail!$A26)+LEN(AG$2))-FIND(AG$2,Mail!$A26)-LEN(AG$2)-1))))</f>
        <v/>
      </c>
      <c r="AH28" s="8" t="str">
        <f>TRIM(IF(ISERROR(FIND(AH$2,Mail!$A26)),"",MID(Mail!$A26,FIND(AH$2,Mail!$A26)+LEN(AH$2)+1,IF(ISERROR(FIND("■",Mail!$A26,FIND(AH$2,Mail!$A26)+LEN(AH$2))-FIND(AH$2,Mail!$A26)-LEN(AH$2)),LEN(Mail!$A26)-60-FIND(AH$2,Mail!$A26)-LEN(AH$2),FIND("■",Mail!$A26,FIND(AH$2,Mail!$A26)+LEN(AH$2))-FIND(AH$2,Mail!$A26)-LEN(AH$2)-1))))</f>
        <v/>
      </c>
      <c r="AI28" s="8" t="str">
        <f>TRIM(IF(ISERROR(FIND(AI$2,Mail!$A26)),"",MID(Mail!$A26,FIND(AI$2,Mail!$A26)+LEN(AI$2)+1,IF(ISERROR(FIND("■",Mail!$A26,FIND(AI$2,Mail!$A26)+LEN(AI$2))-FIND(AI$2,Mail!$A26)-LEN(AI$2)),LEN(Mail!$A26)-60-FIND(AI$2,Mail!$A26)-LEN(AI$2),FIND("■",Mail!$A26,FIND(AI$2,Mail!$A26)+LEN(AI$2))-FIND(AI$2,Mail!$A26)-LEN(AI$2)-1))))</f>
        <v/>
      </c>
    </row>
    <row r="29" spans="1:35" s="8" customFormat="1" x14ac:dyDescent="0.15">
      <c r="A29" s="9" t="str">
        <f t="shared" si="1"/>
        <v/>
      </c>
      <c r="B29" s="8" t="str">
        <f>CLEAN(SUBSTITUTE(IF(ISERROR(FIND("yokohama",Mail!$A27)),"",MID(Mail!$A27,FIND("yokohama",Mail!$A27)+LEN("yokohama")+1,FIND("件目",Mail!$A27,FIND("yokohama",Mail!$A27))-(FIND("yokohama",Mail!$A27)+LEN("yokohama")+1)))," ",""))</f>
        <v/>
      </c>
      <c r="C29" s="9" t="s">
        <v>269</v>
      </c>
      <c r="D29" s="9"/>
      <c r="R29" s="8" t="str">
        <f>TRIM(CLEAN(IF(ISERROR(FIND(R$2,Mail!$A27)),"",MID(Mail!$A27,FIND(R$2,Mail!$A27)+LEN(R$2)+1,IF(ISERROR(FIND("■",Mail!$A27,FIND(R$2,Mail!$A27)+LEN(R$2))-FIND(R$2,Mail!$A27)-LEN(R$2)),LEN(Mail!$A27)-60-FIND(R$2,Mail!$A27)-LEN(R$2),FIND("■",Mail!$A27,FIND(R$2,Mail!$A27)+LEN(R$2))-FIND(R$2,Mail!$A27)-LEN(R$2)-1)))))</f>
        <v/>
      </c>
    </row>
    <row r="30" spans="1:35" s="8" customFormat="1" x14ac:dyDescent="0.15">
      <c r="A30" s="9" t="str">
        <f t="shared" si="1"/>
        <v/>
      </c>
      <c r="B30" s="8" t="str">
        <f>CLEAN(SUBSTITUTE(IF(ISERROR(FIND("yokohama",Mail!$A28)),"",MID(Mail!$A28,FIND("yokohama",Mail!$A28)+LEN("yokohama")+1,FIND("件目",Mail!$A28,FIND("yokohama",Mail!$A28))-(FIND("yokohama",Mail!$A28)+LEN("yokohama")+1)))," ",""))</f>
        <v/>
      </c>
      <c r="C30" s="9" t="str">
        <f t="shared" si="0"/>
        <v/>
      </c>
      <c r="D30" s="9" t="str">
        <f t="shared" si="2"/>
        <v/>
      </c>
      <c r="E30" s="8" t="str">
        <f t="shared" si="3"/>
        <v/>
      </c>
      <c r="F30" s="8" t="str">
        <f>TRIM(CLEAN(IF(ISERROR(FIND(F$2,Mail!$A28)),"",MID(Mail!$A28,FIND(F$2,Mail!$A28)+LEN(F$2)+1,IF(ISERROR(FIND("■",Mail!$A28,FIND(F$2,Mail!$A28)+LEN(F$2))-FIND(F$2,Mail!$A28)-LEN(F$2)),LEN(Mail!$A28)-60-FIND(F$2,Mail!$A28)-LEN(F$2),FIND("■",Mail!$A28,FIND(F$2,Mail!$A28)+LEN(F$2))-FIND(F$2,Mail!$A28)-LEN(F$2)-1)))))</f>
        <v/>
      </c>
      <c r="G30" s="8" t="str">
        <f>TRIM(CLEAN(IF(ISERROR(FIND(G$2,Mail!$A28)),"",MID(Mail!$A28,FIND(G$2,Mail!$A28)+LEN(G$2)+1,IF(ISERROR(FIND("■",Mail!$A28,FIND(G$2,Mail!$A28)+LEN(G$2))-FIND(G$2,Mail!$A28)-LEN(G$2)),LEN(Mail!$A28)-60-FIND(G$2,Mail!$A28)-LEN(G$2),FIND("■",Mail!$A28,FIND(G$2,Mail!$A28)+LEN(G$2))-FIND(G$2,Mail!$A28)-LEN(G$2)-1)))))</f>
        <v/>
      </c>
      <c r="H30" s="8" t="str">
        <f>TRIM(CLEAN(IF(ISERROR(FIND(H$2,Mail!$A28)),"",MID(Mail!$A28,FIND(H$2,Mail!$A28)+LEN(H$2)+1,IF(ISERROR(FIND("■",Mail!$A28,FIND(H$2,Mail!$A28)+LEN(H$2))-FIND(H$2,Mail!$A28)-LEN(H$2)),LEN(Mail!$A28)-60-FIND(H$2,Mail!$A28)-LEN(H$2),FIND("■",Mail!$A28,FIND(H$2,Mail!$A28)+LEN(H$2))-FIND(H$2,Mail!$A28)-LEN(H$2)-1)))))</f>
        <v/>
      </c>
      <c r="I30" s="8" t="str">
        <f>TRIM(CLEAN(IF(ISERROR(FIND(I$2,Mail!$A28)),"",MID(Mail!$A28,FIND(I$2,Mail!$A28)+LEN(I$2)+1,IF(ISERROR(FIND("■",Mail!$A28,FIND(I$2,Mail!$A28)+LEN(I$2))-FIND(I$2,Mail!$A28)-LEN(I$2)),LEN(Mail!$A28)-60-FIND(I$2,Mail!$A28)-LEN(I$2),FIND("■",Mail!$A28,FIND(I$2,Mail!$A28)+LEN(I$2))-FIND(I$2,Mail!$A28)-LEN(I$2)-1)))))</f>
        <v/>
      </c>
      <c r="J30" s="8" t="str">
        <f>TRIM(IF(ISERROR(FIND(J$2,Mail!$A28)),"",MID(Mail!$A28,FIND(J$2,Mail!$A28)+LEN(J$2)+1,IF(ISERROR(FIND("■",Mail!$A28,FIND(J$2,Mail!$A28)+LEN(J$2))-FIND(J$2,Mail!$A28)-LEN(J$2)),LEN(Mail!$A28)-60-FIND(J$2,Mail!$A28)-LEN(J$2),FIND("■",Mail!$A28,FIND(J$2,Mail!$A28)+LEN(J$2))-FIND(J$2,Mail!$A28)-LEN(J$2)-1))))</f>
        <v/>
      </c>
      <c r="K30" s="8" t="str">
        <f>TRIM(IF(ISERROR(FIND(K$2,Mail!$A28)),"",MID(Mail!$A28,FIND(K$2,Mail!$A28)+LEN(K$2)+1,IF(ISERROR(FIND("■",Mail!$A28,FIND(K$2,Mail!$A28)+LEN(K$2))-FIND(K$2,Mail!$A28)-LEN(K$2)),LEN(Mail!$A28)-60-FIND(K$2,Mail!$A28)-LEN(K$2),FIND("■",Mail!$A28,FIND(K$2,Mail!$A28)+LEN(K$2))-FIND(K$2,Mail!$A28)-LEN(K$2)-1))))</f>
        <v/>
      </c>
      <c r="L30" s="8" t="str">
        <f>TRIM(IF(ISERROR(FIND(L$2,Mail!$A28)),"",MID(Mail!$A28,FIND(L$2,Mail!$A28)+LEN(L$2)+1,IF(ISERROR(FIND("■",Mail!$A28,FIND(L$2,Mail!$A28)+LEN(L$2))-FIND(L$2,Mail!$A28)-LEN(L$2)),LEN(Mail!$A28)-60-FIND(L$2,Mail!$A28)-LEN(L$2),FIND("■",Mail!$A28,FIND(L$2,Mail!$A28)+LEN(L$2))-FIND(L$2,Mail!$A28)-LEN(L$2)-1))))</f>
        <v/>
      </c>
      <c r="M30" s="8" t="str">
        <f>TRIM(CLEAN(IF(ISERROR(FIND(M$2,Mail!$A28)),"",MID(Mail!$A28,FIND(M$2,Mail!$A28)+LEN(M$2)+1,IF(ISERROR(FIND("■",Mail!$A28,FIND(M$2,Mail!$A28)+LEN(M$2))-FIND(M$2,Mail!$A28)-LEN(M$2)),LEN(Mail!$A28)-60-FIND(M$2,Mail!$A28)-LEN(M$2),FIND("■",Mail!$A28,FIND(M$2,Mail!$A28)+LEN(M$2))-FIND(M$2,Mail!$A28)-LEN(M$2)-1)))))</f>
        <v/>
      </c>
      <c r="N30" s="8" t="str">
        <f>TRIM(CLEAN(IF(ISERROR(FIND(N$2,Mail!$A28)),"",MID(Mail!$A28,FIND(N$2,Mail!$A28)+LEN(N$2)+1,IF(ISERROR(FIND("■",Mail!$A28,FIND(N$2,Mail!$A28)+LEN(N$2))-FIND(N$2,Mail!$A28)-LEN(N$2)),LEN(Mail!$A28)-60-FIND(N$2,Mail!$A28)-LEN(N$2),FIND("■",Mail!$A28,FIND(N$2,Mail!$A28)+LEN(N$2))-FIND(N$2,Mail!$A28)-LEN(N$2)-1)))))</f>
        <v/>
      </c>
      <c r="O30" s="8" t="str">
        <f>TRIM(CLEAN(IF(ISERROR(FIND(O$2,Mail!$A28)),"",MID(Mail!$A28,FIND(O$2,Mail!$A28)+LEN(O$2)+1,IF(ISERROR(FIND("■",Mail!$A28,FIND(O$2,Mail!$A28)+LEN(O$2))-FIND(O$2,Mail!$A28)-LEN(O$2)),LEN(Mail!$A28)-60-FIND(O$2,Mail!$A28)-LEN(O$2),FIND("■",Mail!$A28,FIND(O$2,Mail!$A28)+LEN(O$2))-FIND(O$2,Mail!$A28)-LEN(O$2)-1)))))</f>
        <v/>
      </c>
      <c r="P30" s="8" t="str">
        <f>TRIM(CLEAN(IF(ISERROR(FIND(P$2,Mail!$A28)),"",MID(Mail!$A28,FIND(P$2,Mail!$A28)+LEN(P$2)+1,IF(ISERROR(FIND("■",Mail!$A28,FIND(P$2,Mail!$A28)+LEN(P$2))-FIND(P$2,Mail!$A28)-LEN(P$2)),LEN(Mail!$A28)-60-FIND(P$2,Mail!$A28)-LEN(P$2),FIND("■",Mail!$A28,FIND(P$2,Mail!$A28)+LEN(P$2))-FIND(P$2,Mail!$A28)-LEN(P$2)-1)))))</f>
        <v/>
      </c>
      <c r="Q30" s="8" t="str">
        <f>TRIM(CLEAN(IF(ISERROR(FIND(Q$2,Mail!$A28)),"",MID(Mail!$A28,FIND(Q$2,Mail!$A28)+LEN(Q$2)+1,IF(ISERROR(FIND("■",Mail!$A28,FIND(Q$2,Mail!$A28)+LEN(Q$2))-FIND(Q$2,Mail!$A28)-LEN(Q$2)),LEN(Mail!$A28)-60-FIND(Q$2,Mail!$A28)-LEN(Q$2),FIND("■",Mail!$A28,FIND(Q$2,Mail!$A28)+LEN(Q$2))-FIND(Q$2,Mail!$A28)-LEN(Q$2)-1)))))</f>
        <v/>
      </c>
      <c r="R30" s="8" t="str">
        <f>TRIM(CLEAN(IF(ISERROR(FIND(R$2,Mail!$A28)),"",MID(Mail!$A28,FIND(R$2,Mail!$A28)+LEN(R$2)+1,IF(ISERROR(FIND("■",Mail!$A28,FIND(R$2,Mail!$A28)+LEN(R$2))-FIND(R$2,Mail!$A28)-LEN(R$2)),LEN(Mail!$A28)-60-FIND(R$2,Mail!$A28)-LEN(R$2),FIND("■",Mail!$A28,FIND(R$2,Mail!$A28)+LEN(R$2))-FIND(R$2,Mail!$A28)-LEN(R$2)-1)))))</f>
        <v/>
      </c>
      <c r="S30" s="8" t="str">
        <f>TRIM(CLEAN(IF(ISERROR(FIND(S$2,Mail!$A28)),"",MID(Mail!$A28,FIND(S$2,Mail!$A28)+LEN(S$2)+1,IF(ISERROR(FIND("■",Mail!$A28,FIND(S$2,Mail!$A28)+LEN(S$2))-FIND(S$2,Mail!$A28)-LEN(S$2)),LEN(Mail!$A28)-60-FIND(S$2,Mail!$A28)-LEN(S$2),FIND("■",Mail!$A28,FIND(S$2,Mail!$A28)+LEN(S$2))-FIND(S$2,Mail!$A28)-LEN(S$2)-1)))))</f>
        <v/>
      </c>
      <c r="T30" s="8" t="str">
        <f>TRIM(CLEAN(IF(ISERROR(FIND(T$2,Mail!$A28)),"",MID(Mail!$A28,FIND(T$2,Mail!$A28)+LEN(T$2)+1,IF(ISERROR(FIND("■",Mail!$A28,FIND(T$2,Mail!$A28)+LEN(T$2))-FIND(T$2,Mail!$A28)-LEN(T$2)),LEN(Mail!$A28)-60-FIND(T$2,Mail!$A28)-LEN(T$2),FIND("■",Mail!$A28,FIND(T$2,Mail!$A28)+LEN(T$2))-FIND(T$2,Mail!$A28)-LEN(T$2)-1)))))</f>
        <v/>
      </c>
      <c r="U30" s="8" t="str">
        <f>TRIM(CLEAN(IF(ISERROR(FIND(U$2,Mail!$A28)),"",MID(Mail!$A28,FIND(U$2,Mail!$A28)+LEN(U$2)+1,IF(ISERROR(FIND("■",Mail!$A28,FIND(U$2,Mail!$A28)+LEN(U$2))-FIND(U$2,Mail!$A28)-LEN(U$2)),LEN(Mail!$A28)-60-FIND(U$2,Mail!$A28)-LEN(U$2),FIND("■",Mail!$A28,FIND(U$2,Mail!$A28)+LEN(U$2))-FIND(U$2,Mail!$A28)-LEN(U$2)-1)))))</f>
        <v/>
      </c>
      <c r="V30" s="8" t="str">
        <f>TRIM(CLEAN(IF(ISERROR(FIND(V$2,Mail!$A28)),"",MID(Mail!$A28,FIND(V$2,Mail!$A28)+LEN(V$2)+1,IF(ISERROR(FIND("■",Mail!$A28,FIND(V$2,Mail!$A28)+LEN(V$2))-FIND(V$2,Mail!$A28)-LEN(V$2)),LEN(Mail!$A28)-60-FIND(V$2,Mail!$A28)-LEN(V$2),FIND("■",Mail!$A28,FIND(V$2,Mail!$A28)+LEN(V$2))-FIND(V$2,Mail!$A28)-LEN(V$2)-1)))))</f>
        <v/>
      </c>
      <c r="W30" s="8" t="str">
        <f>TRIM(CLEAN(IF(ISERROR(FIND(W$2,Mail!$A28)),"",MID(Mail!$A28,FIND(W$2,Mail!$A28)+LEN(W$2)+1,IF(ISERROR(FIND("■",Mail!$A28,FIND(W$2,Mail!$A28)+LEN(W$2))-FIND(W$2,Mail!$A28)-LEN(W$2)),LEN(Mail!$A28)-60-FIND(W$2,Mail!$A28)-LEN(W$2),FIND("■",Mail!$A28,FIND(W$2,Mail!$A28)+LEN(W$2))-FIND(W$2,Mail!$A28)-LEN(W$2)-1)))))</f>
        <v/>
      </c>
      <c r="X30" s="8" t="str">
        <f>TRIM(IF(ISERROR(FIND(X$2,Mail!$A28)),"",MID(Mail!$A28,FIND(X$2,Mail!$A28)+LEN(X$2)+1,IF(ISERROR(FIND("■",Mail!$A28,FIND(X$2,Mail!$A28)+LEN(X$2))-FIND(X$2,Mail!$A28)-LEN(X$2)),LEN(Mail!$A28)-60-FIND(X$2,Mail!$A28)-LEN(X$2),FIND("■",Mail!$A28,FIND(X$2,Mail!$A28)+LEN(X$2))-FIND(X$2,Mail!$A28)-LEN(X$2)-1))))</f>
        <v/>
      </c>
      <c r="Y30" s="8" t="str">
        <f>TRIM(CLEAN(IF(ISERROR(FIND(Y$2,Mail!$A28)),"",MID(Mail!$A28,FIND(Y$2,Mail!$A28)+LEN(Y$2)+1,IF(ISERROR(FIND("■",Mail!$A28,FIND(Y$2,Mail!$A28)+LEN(Y$2))-FIND(Y$2,Mail!$A28)-LEN(Y$2)),LEN(Mail!$A28)-60-FIND(Y$2,Mail!$A28)-LEN(Y$2),FIND("■",Mail!$A28,FIND(Y$2,Mail!$A28)+LEN(Y$2))-FIND(Y$2,Mail!$A28)-LEN(Y$2)-1)))))</f>
        <v/>
      </c>
      <c r="Z30" s="8" t="str">
        <f>TRIM(CLEAN(IF(ISERROR(FIND(Z$2,Mail!$A28)),"",MID(Mail!$A28,FIND(Z$2,Mail!$A28)+LEN(Z$2)+1,IF(ISERROR(FIND("■",Mail!$A28,FIND(Z$2,Mail!$A28)+LEN(Z$2))-FIND(Z$2,Mail!$A28)-LEN(Z$2)),LEN(Mail!$A28)-60-FIND(Z$2,Mail!$A28)-LEN(Z$2),FIND("■",Mail!$A28,FIND(Z$2,Mail!$A28)+LEN(Z$2))-FIND(Z$2,Mail!$A28)-LEN(Z$2)-1)))))</f>
        <v/>
      </c>
      <c r="AA30" s="8" t="str">
        <f>TRIM(CLEAN(IF(ISERROR(FIND(AA$2,Mail!$A28)),"",MID(Mail!$A28,FIND(AA$2,Mail!$A28)+LEN(AA$2)+1,IF(ISERROR(FIND("■",Mail!$A28,FIND(AA$2,Mail!$A28)+LEN(AA$2))-FIND(AA$2,Mail!$A28)-LEN(AA$2)),LEN(Mail!$A28)-60-FIND(AA$2,Mail!$A28)-LEN(AA$2),FIND("■",Mail!$A28,FIND(AA$2,Mail!$A28)+LEN(AA$2))-FIND(AA$2,Mail!$A28)-LEN(AA$2)-1)))))</f>
        <v/>
      </c>
      <c r="AB30" s="8" t="str">
        <f>TRIM(CLEAN(IF(ISERROR(FIND(AB$2,Mail!$A28)),"",MID(Mail!$A28,FIND(AB$2,Mail!$A28)+LEN(AB$2)+1,IF(ISERROR(FIND("■",Mail!$A28,FIND(AB$2,Mail!$A28)+LEN(AB$2))-FIND(AB$2,Mail!$A28)-LEN(AB$2)),LEN(Mail!$A28)-60-FIND(AB$2,Mail!$A28)-LEN(AB$2),FIND("■",Mail!$A28,FIND(AB$2,Mail!$A28)+LEN(AB$2))-FIND(AB$2,Mail!$A28)-LEN(AB$2)-1)))))</f>
        <v/>
      </c>
      <c r="AC30" s="8" t="str">
        <f>TRIM(CLEAN(IF(ISERROR(FIND(AC$2,Mail!$A28)),"",MID(Mail!$A28,FIND(AC$2,Mail!$A28)+LEN(AC$2)+1,IF(ISERROR(FIND("■",Mail!$A28,FIND(AC$2,Mail!$A28)+LEN(AC$2))-FIND(AC$2,Mail!$A28)-LEN(AC$2)),LEN(Mail!$A28)-60-FIND(AC$2,Mail!$A28)-LEN(AC$2),FIND("■",Mail!$A28,FIND(AC$2,Mail!$A28)+LEN(AC$2))-FIND(AC$2,Mail!$A28)-LEN(AC$2)-1)))))</f>
        <v/>
      </c>
      <c r="AD30" s="8" t="str">
        <f>TRIM(CLEAN(IF(ISERROR(FIND(AD$2,Mail!$A28)),"",MID(Mail!$A28,FIND(AD$2,Mail!$A28)+LEN(AD$2)+1,IF(ISERROR(FIND("■",Mail!$A28,FIND(AD$2,Mail!$A28)+LEN(AD$2))-FIND(AD$2,Mail!$A28)-LEN(AD$2)),LEN(Mail!$A28)-60-FIND(AD$2,Mail!$A28)-LEN(AD$2),FIND("■",Mail!$A28,FIND(AD$2,Mail!$A28)+LEN(AD$2))-FIND(AD$2,Mail!$A28)-LEN(AD$2)-1)))))</f>
        <v/>
      </c>
      <c r="AE30" s="8" t="str">
        <f>TRIM(CLEAN(IF(ISERROR(FIND(AE$2,Mail!$A28)),"",MID(Mail!$A28,FIND(AE$2,Mail!$A28)+LEN(AE$2)+1,IF(ISERROR(FIND("■",Mail!$A28,FIND(AE$2,Mail!$A28)+LEN(AE$2))-FIND(AE$2,Mail!$A28)-LEN(AE$2)),LEN(Mail!$A28)-60-FIND(AE$2,Mail!$A28)-LEN(AE$2),FIND("■",Mail!$A28,FIND(AE$2,Mail!$A28)+LEN(AE$2))-FIND(AE$2,Mail!$A28)-LEN(AE$2)-1)))))</f>
        <v/>
      </c>
      <c r="AF30" s="8" t="str">
        <f>TRIM(CLEAN(IF(ISERROR(FIND(AF$2,Mail!$A28)),"",MID(Mail!$A28,FIND(AF$2,Mail!$A28)+LEN(AF$2)+1,IF(ISERROR(FIND("■",Mail!$A28,FIND(AF$2,Mail!$A28)+LEN(AF$2))-FIND(AF$2,Mail!$A28)-LEN(AF$2)),LEN(Mail!$A28)-60-FIND(AF$2,Mail!$A28)-LEN(AF$2),FIND("■",Mail!$A28,FIND(AF$2,Mail!$A28)+LEN(AF$2))-FIND(AF$2,Mail!$A28)-LEN(AF$2)-1)))))</f>
        <v/>
      </c>
      <c r="AG30" s="8" t="str">
        <f>TRIM(IF(ISERROR(FIND(AG$2,Mail!$A28)),"",MID(Mail!$A28,FIND(AG$2,Mail!$A28)+LEN(AG$2)+1,IF(ISERROR(FIND("■",Mail!$A28,FIND(AG$2,Mail!$A28)+LEN(AG$2))-FIND(AG$2,Mail!$A28)-LEN(AG$2)),LEN(Mail!$A28)-60-FIND(AG$2,Mail!$A28)-LEN(AG$2),FIND("■",Mail!$A28,FIND(AG$2,Mail!$A28)+LEN(AG$2))-FIND(AG$2,Mail!$A28)-LEN(AG$2)-1))))</f>
        <v/>
      </c>
      <c r="AH30" s="8" t="str">
        <f>TRIM(IF(ISERROR(FIND(AH$2,Mail!$A28)),"",MID(Mail!$A28,FIND(AH$2,Mail!$A28)+LEN(AH$2)+1,IF(ISERROR(FIND("■",Mail!$A28,FIND(AH$2,Mail!$A28)+LEN(AH$2))-FIND(AH$2,Mail!$A28)-LEN(AH$2)),LEN(Mail!$A28)-60-FIND(AH$2,Mail!$A28)-LEN(AH$2),FIND("■",Mail!$A28,FIND(AH$2,Mail!$A28)+LEN(AH$2))-FIND(AH$2,Mail!$A28)-LEN(AH$2)-1))))</f>
        <v/>
      </c>
      <c r="AI30" s="8" t="str">
        <f>TRIM(IF(ISERROR(FIND(AI$2,Mail!$A28)),"",MID(Mail!$A28,FIND(AI$2,Mail!$A28)+LEN(AI$2)+1,IF(ISERROR(FIND("■",Mail!$A28,FIND(AI$2,Mail!$A28)+LEN(AI$2))-FIND(AI$2,Mail!$A28)-LEN(AI$2)),LEN(Mail!$A28)-60-FIND(AI$2,Mail!$A28)-LEN(AI$2),FIND("■",Mail!$A28,FIND(AI$2,Mail!$A28)+LEN(AI$2))-FIND(AI$2,Mail!$A28)-LEN(AI$2)-1))))</f>
        <v/>
      </c>
    </row>
    <row r="31" spans="1:35" s="8" customFormat="1" x14ac:dyDescent="0.15">
      <c r="A31" s="9" t="str">
        <f t="shared" si="1"/>
        <v/>
      </c>
      <c r="B31" s="8" t="str">
        <f>CLEAN(SUBSTITUTE(IF(ISERROR(FIND("yokohama",Mail!$A29)),"",MID(Mail!$A29,FIND("yokohama",Mail!$A29)+LEN("yokohama")+1,FIND("件目",Mail!$A29,FIND("yokohama",Mail!$A29))-(FIND("yokohama",Mail!$A29)+LEN("yokohama")+1)))," ",""))</f>
        <v/>
      </c>
      <c r="C31" s="9" t="str">
        <f t="shared" si="0"/>
        <v/>
      </c>
      <c r="D31" s="9" t="str">
        <f t="shared" si="2"/>
        <v/>
      </c>
      <c r="E31" s="8" t="str">
        <f t="shared" si="3"/>
        <v/>
      </c>
      <c r="F31" s="8" t="str">
        <f>TRIM(CLEAN(IF(ISERROR(FIND(F$2,Mail!$A29)),"",MID(Mail!$A29,FIND(F$2,Mail!$A29)+LEN(F$2)+1,IF(ISERROR(FIND("■",Mail!$A29,FIND(F$2,Mail!$A29)+LEN(F$2))-FIND(F$2,Mail!$A29)-LEN(F$2)),LEN(Mail!$A29)-60-FIND(F$2,Mail!$A29)-LEN(F$2),FIND("■",Mail!$A29,FIND(F$2,Mail!$A29)+LEN(F$2))-FIND(F$2,Mail!$A29)-LEN(F$2)-1)))))</f>
        <v/>
      </c>
      <c r="G31" s="8" t="str">
        <f>TRIM(CLEAN(IF(ISERROR(FIND(G$2,Mail!$A29)),"",MID(Mail!$A29,FIND(G$2,Mail!$A29)+LEN(G$2)+1,IF(ISERROR(FIND("■",Mail!$A29,FIND(G$2,Mail!$A29)+LEN(G$2))-FIND(G$2,Mail!$A29)-LEN(G$2)),LEN(Mail!$A29)-60-FIND(G$2,Mail!$A29)-LEN(G$2),FIND("■",Mail!$A29,FIND(G$2,Mail!$A29)+LEN(G$2))-FIND(G$2,Mail!$A29)-LEN(G$2)-1)))))</f>
        <v/>
      </c>
      <c r="H31" s="8" t="str">
        <f>TRIM(CLEAN(IF(ISERROR(FIND(H$2,Mail!$A29)),"",MID(Mail!$A29,FIND(H$2,Mail!$A29)+LEN(H$2)+1,IF(ISERROR(FIND("■",Mail!$A29,FIND(H$2,Mail!$A29)+LEN(H$2))-FIND(H$2,Mail!$A29)-LEN(H$2)),LEN(Mail!$A29)-60-FIND(H$2,Mail!$A29)-LEN(H$2),FIND("■",Mail!$A29,FIND(H$2,Mail!$A29)+LEN(H$2))-FIND(H$2,Mail!$A29)-LEN(H$2)-1)))))</f>
        <v/>
      </c>
      <c r="I31" s="8" t="str">
        <f>TRIM(CLEAN(IF(ISERROR(FIND(I$2,Mail!$A29)),"",MID(Mail!$A29,FIND(I$2,Mail!$A29)+LEN(I$2)+1,IF(ISERROR(FIND("■",Mail!$A29,FIND(I$2,Mail!$A29)+LEN(I$2))-FIND(I$2,Mail!$A29)-LEN(I$2)),LEN(Mail!$A29)-60-FIND(I$2,Mail!$A29)-LEN(I$2),FIND("■",Mail!$A29,FIND(I$2,Mail!$A29)+LEN(I$2))-FIND(I$2,Mail!$A29)-LEN(I$2)-1)))))</f>
        <v/>
      </c>
      <c r="J31" s="8" t="str">
        <f>TRIM(IF(ISERROR(FIND(J$2,Mail!$A29)),"",MID(Mail!$A29,FIND(J$2,Mail!$A29)+LEN(J$2)+1,IF(ISERROR(FIND("■",Mail!$A29,FIND(J$2,Mail!$A29)+LEN(J$2))-FIND(J$2,Mail!$A29)-LEN(J$2)),LEN(Mail!$A29)-60-FIND(J$2,Mail!$A29)-LEN(J$2),FIND("■",Mail!$A29,FIND(J$2,Mail!$A29)+LEN(J$2))-FIND(J$2,Mail!$A29)-LEN(J$2)-1))))</f>
        <v/>
      </c>
      <c r="K31" s="8" t="str">
        <f>TRIM(IF(ISERROR(FIND(K$2,Mail!$A29)),"",MID(Mail!$A29,FIND(K$2,Mail!$A29)+LEN(K$2)+1,IF(ISERROR(FIND("■",Mail!$A29,FIND(K$2,Mail!$A29)+LEN(K$2))-FIND(K$2,Mail!$A29)-LEN(K$2)),LEN(Mail!$A29)-60-FIND(K$2,Mail!$A29)-LEN(K$2),FIND("■",Mail!$A29,FIND(K$2,Mail!$A29)+LEN(K$2))-FIND(K$2,Mail!$A29)-LEN(K$2)-1))))</f>
        <v/>
      </c>
      <c r="L31" s="8" t="str">
        <f>TRIM(IF(ISERROR(FIND(L$2,Mail!$A29)),"",MID(Mail!$A29,FIND(L$2,Mail!$A29)+LEN(L$2)+1,IF(ISERROR(FIND("■",Mail!$A29,FIND(L$2,Mail!$A29)+LEN(L$2))-FIND(L$2,Mail!$A29)-LEN(L$2)),LEN(Mail!$A29)-60-FIND(L$2,Mail!$A29)-LEN(L$2),FIND("■",Mail!$A29,FIND(L$2,Mail!$A29)+LEN(L$2))-FIND(L$2,Mail!$A29)-LEN(L$2)-1))))</f>
        <v/>
      </c>
      <c r="M31" s="8" t="str">
        <f>TRIM(CLEAN(IF(ISERROR(FIND(M$2,Mail!$A29)),"",MID(Mail!$A29,FIND(M$2,Mail!$A29)+LEN(M$2)+1,IF(ISERROR(FIND("■",Mail!$A29,FIND(M$2,Mail!$A29)+LEN(M$2))-FIND(M$2,Mail!$A29)-LEN(M$2)),LEN(Mail!$A29)-60-FIND(M$2,Mail!$A29)-LEN(M$2),FIND("■",Mail!$A29,FIND(M$2,Mail!$A29)+LEN(M$2))-FIND(M$2,Mail!$A29)-LEN(M$2)-1)))))</f>
        <v/>
      </c>
      <c r="N31" s="8" t="str">
        <f>TRIM(CLEAN(IF(ISERROR(FIND(N$2,Mail!$A29)),"",MID(Mail!$A29,FIND(N$2,Mail!$A29)+LEN(N$2)+1,IF(ISERROR(FIND("■",Mail!$A29,FIND(N$2,Mail!$A29)+LEN(N$2))-FIND(N$2,Mail!$A29)-LEN(N$2)),LEN(Mail!$A29)-60-FIND(N$2,Mail!$A29)-LEN(N$2),FIND("■",Mail!$A29,FIND(N$2,Mail!$A29)+LEN(N$2))-FIND(N$2,Mail!$A29)-LEN(N$2)-1)))))</f>
        <v/>
      </c>
      <c r="O31" s="8" t="str">
        <f>TRIM(CLEAN(IF(ISERROR(FIND(O$2,Mail!$A29)),"",MID(Mail!$A29,FIND(O$2,Mail!$A29)+LEN(O$2)+1,IF(ISERROR(FIND("■",Mail!$A29,FIND(O$2,Mail!$A29)+LEN(O$2))-FIND(O$2,Mail!$A29)-LEN(O$2)),LEN(Mail!$A29)-60-FIND(O$2,Mail!$A29)-LEN(O$2),FIND("■",Mail!$A29,FIND(O$2,Mail!$A29)+LEN(O$2))-FIND(O$2,Mail!$A29)-LEN(O$2)-1)))))</f>
        <v/>
      </c>
      <c r="P31" s="8" t="str">
        <f>TRIM(CLEAN(IF(ISERROR(FIND(P$2,Mail!$A29)),"",MID(Mail!$A29,FIND(P$2,Mail!$A29)+LEN(P$2)+1,IF(ISERROR(FIND("■",Mail!$A29,FIND(P$2,Mail!$A29)+LEN(P$2))-FIND(P$2,Mail!$A29)-LEN(P$2)),LEN(Mail!$A29)-60-FIND(P$2,Mail!$A29)-LEN(P$2),FIND("■",Mail!$A29,FIND(P$2,Mail!$A29)+LEN(P$2))-FIND(P$2,Mail!$A29)-LEN(P$2)-1)))))</f>
        <v/>
      </c>
      <c r="Q31" s="8" t="str">
        <f>TRIM(CLEAN(IF(ISERROR(FIND(Q$2,Mail!$A29)),"",MID(Mail!$A29,FIND(Q$2,Mail!$A29)+LEN(Q$2)+1,IF(ISERROR(FIND("■",Mail!$A29,FIND(Q$2,Mail!$A29)+LEN(Q$2))-FIND(Q$2,Mail!$A29)-LEN(Q$2)),LEN(Mail!$A29)-60-FIND(Q$2,Mail!$A29)-LEN(Q$2),FIND("■",Mail!$A29,FIND(Q$2,Mail!$A29)+LEN(Q$2))-FIND(Q$2,Mail!$A29)-LEN(Q$2)-1)))))</f>
        <v/>
      </c>
      <c r="R31" s="8" t="str">
        <f>TRIM(CLEAN(IF(ISERROR(FIND(R$2,Mail!$A29)),"",MID(Mail!$A29,FIND(R$2,Mail!$A29)+LEN(R$2)+1,IF(ISERROR(FIND("■",Mail!$A29,FIND(R$2,Mail!$A29)+LEN(R$2))-FIND(R$2,Mail!$A29)-LEN(R$2)),LEN(Mail!$A29)-60-FIND(R$2,Mail!$A29)-LEN(R$2),FIND("■",Mail!$A29,FIND(R$2,Mail!$A29)+LEN(R$2))-FIND(R$2,Mail!$A29)-LEN(R$2)-1)))))</f>
        <v/>
      </c>
      <c r="S31" s="8" t="str">
        <f>TRIM(CLEAN(IF(ISERROR(FIND(S$2,Mail!$A29)),"",MID(Mail!$A29,FIND(S$2,Mail!$A29)+LEN(S$2)+1,IF(ISERROR(FIND("■",Mail!$A29,FIND(S$2,Mail!$A29)+LEN(S$2))-FIND(S$2,Mail!$A29)-LEN(S$2)),LEN(Mail!$A29)-60-FIND(S$2,Mail!$A29)-LEN(S$2),FIND("■",Mail!$A29,FIND(S$2,Mail!$A29)+LEN(S$2))-FIND(S$2,Mail!$A29)-LEN(S$2)-1)))))</f>
        <v/>
      </c>
      <c r="T31" s="8" t="str">
        <f>TRIM(CLEAN(IF(ISERROR(FIND(T$2,Mail!$A29)),"",MID(Mail!$A29,FIND(T$2,Mail!$A29)+LEN(T$2)+1,IF(ISERROR(FIND("■",Mail!$A29,FIND(T$2,Mail!$A29)+LEN(T$2))-FIND(T$2,Mail!$A29)-LEN(T$2)),LEN(Mail!$A29)-60-FIND(T$2,Mail!$A29)-LEN(T$2),FIND("■",Mail!$A29,FIND(T$2,Mail!$A29)+LEN(T$2))-FIND(T$2,Mail!$A29)-LEN(T$2)-1)))))</f>
        <v/>
      </c>
      <c r="U31" s="8" t="str">
        <f>TRIM(CLEAN(IF(ISERROR(FIND(U$2,Mail!$A29)),"",MID(Mail!$A29,FIND(U$2,Mail!$A29)+LEN(U$2)+1,IF(ISERROR(FIND("■",Mail!$A29,FIND(U$2,Mail!$A29)+LEN(U$2))-FIND(U$2,Mail!$A29)-LEN(U$2)),LEN(Mail!$A29)-60-FIND(U$2,Mail!$A29)-LEN(U$2),FIND("■",Mail!$A29,FIND(U$2,Mail!$A29)+LEN(U$2))-FIND(U$2,Mail!$A29)-LEN(U$2)-1)))))</f>
        <v/>
      </c>
      <c r="V31" s="8" t="str">
        <f>TRIM(CLEAN(IF(ISERROR(FIND(V$2,Mail!$A29)),"",MID(Mail!$A29,FIND(V$2,Mail!$A29)+LEN(V$2)+1,IF(ISERROR(FIND("■",Mail!$A29,FIND(V$2,Mail!$A29)+LEN(V$2))-FIND(V$2,Mail!$A29)-LEN(V$2)),LEN(Mail!$A29)-60-FIND(V$2,Mail!$A29)-LEN(V$2),FIND("■",Mail!$A29,FIND(V$2,Mail!$A29)+LEN(V$2))-FIND(V$2,Mail!$A29)-LEN(V$2)-1)))))</f>
        <v/>
      </c>
      <c r="W31" s="8" t="str">
        <f>TRIM(CLEAN(IF(ISERROR(FIND(W$2,Mail!$A29)),"",MID(Mail!$A29,FIND(W$2,Mail!$A29)+LEN(W$2)+1,IF(ISERROR(FIND("■",Mail!$A29,FIND(W$2,Mail!$A29)+LEN(W$2))-FIND(W$2,Mail!$A29)-LEN(W$2)),LEN(Mail!$A29)-60-FIND(W$2,Mail!$A29)-LEN(W$2),FIND("■",Mail!$A29,FIND(W$2,Mail!$A29)+LEN(W$2))-FIND(W$2,Mail!$A29)-LEN(W$2)-1)))))</f>
        <v/>
      </c>
      <c r="X31" s="8" t="str">
        <f>TRIM(IF(ISERROR(FIND(X$2,Mail!$A29)),"",MID(Mail!$A29,FIND(X$2,Mail!$A29)+LEN(X$2)+1,IF(ISERROR(FIND("■",Mail!$A29,FIND(X$2,Mail!$A29)+LEN(X$2))-FIND(X$2,Mail!$A29)-LEN(X$2)),LEN(Mail!$A29)-60-FIND(X$2,Mail!$A29)-LEN(X$2),FIND("■",Mail!$A29,FIND(X$2,Mail!$A29)+LEN(X$2))-FIND(X$2,Mail!$A29)-LEN(X$2)-1))))</f>
        <v/>
      </c>
      <c r="Y31" s="8" t="str">
        <f>TRIM(CLEAN(IF(ISERROR(FIND(Y$2,Mail!$A29)),"",MID(Mail!$A29,FIND(Y$2,Mail!$A29)+LEN(Y$2)+1,IF(ISERROR(FIND("■",Mail!$A29,FIND(Y$2,Mail!$A29)+LEN(Y$2))-FIND(Y$2,Mail!$A29)-LEN(Y$2)),LEN(Mail!$A29)-60-FIND(Y$2,Mail!$A29)-LEN(Y$2),FIND("■",Mail!$A29,FIND(Y$2,Mail!$A29)+LEN(Y$2))-FIND(Y$2,Mail!$A29)-LEN(Y$2)-1)))))</f>
        <v/>
      </c>
      <c r="Z31" s="8" t="str">
        <f>TRIM(CLEAN(IF(ISERROR(FIND(Z$2,Mail!$A29)),"",MID(Mail!$A29,FIND(Z$2,Mail!$A29)+LEN(Z$2)+1,IF(ISERROR(FIND("■",Mail!$A29,FIND(Z$2,Mail!$A29)+LEN(Z$2))-FIND(Z$2,Mail!$A29)-LEN(Z$2)),LEN(Mail!$A29)-60-FIND(Z$2,Mail!$A29)-LEN(Z$2),FIND("■",Mail!$A29,FIND(Z$2,Mail!$A29)+LEN(Z$2))-FIND(Z$2,Mail!$A29)-LEN(Z$2)-1)))))</f>
        <v/>
      </c>
      <c r="AA31" s="8" t="str">
        <f>TRIM(CLEAN(IF(ISERROR(FIND(AA$2,Mail!$A29)),"",MID(Mail!$A29,FIND(AA$2,Mail!$A29)+LEN(AA$2)+1,IF(ISERROR(FIND("■",Mail!$A29,FIND(AA$2,Mail!$A29)+LEN(AA$2))-FIND(AA$2,Mail!$A29)-LEN(AA$2)),LEN(Mail!$A29)-60-FIND(AA$2,Mail!$A29)-LEN(AA$2),FIND("■",Mail!$A29,FIND(AA$2,Mail!$A29)+LEN(AA$2))-FIND(AA$2,Mail!$A29)-LEN(AA$2)-1)))))</f>
        <v/>
      </c>
      <c r="AB31" s="8" t="str">
        <f>TRIM(CLEAN(IF(ISERROR(FIND(AB$2,Mail!$A29)),"",MID(Mail!$A29,FIND(AB$2,Mail!$A29)+LEN(AB$2)+1,IF(ISERROR(FIND("■",Mail!$A29,FIND(AB$2,Mail!$A29)+LEN(AB$2))-FIND(AB$2,Mail!$A29)-LEN(AB$2)),LEN(Mail!$A29)-60-FIND(AB$2,Mail!$A29)-LEN(AB$2),FIND("■",Mail!$A29,FIND(AB$2,Mail!$A29)+LEN(AB$2))-FIND(AB$2,Mail!$A29)-LEN(AB$2)-1)))))</f>
        <v/>
      </c>
      <c r="AC31" s="8" t="str">
        <f>TRIM(CLEAN(IF(ISERROR(FIND(AC$2,Mail!$A29)),"",MID(Mail!$A29,FIND(AC$2,Mail!$A29)+LEN(AC$2)+1,IF(ISERROR(FIND("■",Mail!$A29,FIND(AC$2,Mail!$A29)+LEN(AC$2))-FIND(AC$2,Mail!$A29)-LEN(AC$2)),LEN(Mail!$A29)-60-FIND(AC$2,Mail!$A29)-LEN(AC$2),FIND("■",Mail!$A29,FIND(AC$2,Mail!$A29)+LEN(AC$2))-FIND(AC$2,Mail!$A29)-LEN(AC$2)-1)))))</f>
        <v/>
      </c>
      <c r="AD31" s="8" t="str">
        <f>TRIM(CLEAN(IF(ISERROR(FIND(AD$2,Mail!$A29)),"",MID(Mail!$A29,FIND(AD$2,Mail!$A29)+LEN(AD$2)+1,IF(ISERROR(FIND("■",Mail!$A29,FIND(AD$2,Mail!$A29)+LEN(AD$2))-FIND(AD$2,Mail!$A29)-LEN(AD$2)),LEN(Mail!$A29)-60-FIND(AD$2,Mail!$A29)-LEN(AD$2),FIND("■",Mail!$A29,FIND(AD$2,Mail!$A29)+LEN(AD$2))-FIND(AD$2,Mail!$A29)-LEN(AD$2)-1)))))</f>
        <v/>
      </c>
      <c r="AE31" s="8" t="str">
        <f>TRIM(CLEAN(IF(ISERROR(FIND(AE$2,Mail!$A29)),"",MID(Mail!$A29,FIND(AE$2,Mail!$A29)+LEN(AE$2)+1,IF(ISERROR(FIND("■",Mail!$A29,FIND(AE$2,Mail!$A29)+LEN(AE$2))-FIND(AE$2,Mail!$A29)-LEN(AE$2)),LEN(Mail!$A29)-60-FIND(AE$2,Mail!$A29)-LEN(AE$2),FIND("■",Mail!$A29,FIND(AE$2,Mail!$A29)+LEN(AE$2))-FIND(AE$2,Mail!$A29)-LEN(AE$2)-1)))))</f>
        <v/>
      </c>
      <c r="AF31" s="8" t="str">
        <f>TRIM(CLEAN(IF(ISERROR(FIND(AF$2,Mail!$A29)),"",MID(Mail!$A29,FIND(AF$2,Mail!$A29)+LEN(AF$2)+1,IF(ISERROR(FIND("■",Mail!$A29,FIND(AF$2,Mail!$A29)+LEN(AF$2))-FIND(AF$2,Mail!$A29)-LEN(AF$2)),LEN(Mail!$A29)-60-FIND(AF$2,Mail!$A29)-LEN(AF$2),FIND("■",Mail!$A29,FIND(AF$2,Mail!$A29)+LEN(AF$2))-FIND(AF$2,Mail!$A29)-LEN(AF$2)-1)))))</f>
        <v/>
      </c>
      <c r="AG31" s="8" t="str">
        <f>TRIM(IF(ISERROR(FIND(AG$2,Mail!$A29)),"",MID(Mail!$A29,FIND(AG$2,Mail!$A29)+LEN(AG$2)+1,IF(ISERROR(FIND("■",Mail!$A29,FIND(AG$2,Mail!$A29)+LEN(AG$2))-FIND(AG$2,Mail!$A29)-LEN(AG$2)),LEN(Mail!$A29)-60-FIND(AG$2,Mail!$A29)-LEN(AG$2),FIND("■",Mail!$A29,FIND(AG$2,Mail!$A29)+LEN(AG$2))-FIND(AG$2,Mail!$A29)-LEN(AG$2)-1))))</f>
        <v/>
      </c>
      <c r="AH31" s="8" t="str">
        <f>TRIM(IF(ISERROR(FIND(AH$2,Mail!$A29)),"",MID(Mail!$A29,FIND(AH$2,Mail!$A29)+LEN(AH$2)+1,IF(ISERROR(FIND("■",Mail!$A29,FIND(AH$2,Mail!$A29)+LEN(AH$2))-FIND(AH$2,Mail!$A29)-LEN(AH$2)),LEN(Mail!$A29)-60-FIND(AH$2,Mail!$A29)-LEN(AH$2),FIND("■",Mail!$A29,FIND(AH$2,Mail!$A29)+LEN(AH$2))-FIND(AH$2,Mail!$A29)-LEN(AH$2)-1))))</f>
        <v/>
      </c>
      <c r="AI31" s="8" t="str">
        <f>TRIM(IF(ISERROR(FIND(AI$2,Mail!$A29)),"",MID(Mail!$A29,FIND(AI$2,Mail!$A29)+LEN(AI$2)+1,IF(ISERROR(FIND("■",Mail!$A29,FIND(AI$2,Mail!$A29)+LEN(AI$2))-FIND(AI$2,Mail!$A29)-LEN(AI$2)),LEN(Mail!$A29)-60-FIND(AI$2,Mail!$A29)-LEN(AI$2),FIND("■",Mail!$A29,FIND(AI$2,Mail!$A29)+LEN(AI$2))-FIND(AI$2,Mail!$A29)-LEN(AI$2)-1))))</f>
        <v/>
      </c>
    </row>
    <row r="32" spans="1:35" s="8" customFormat="1" x14ac:dyDescent="0.15">
      <c r="A32" s="9" t="str">
        <f t="shared" si="1"/>
        <v/>
      </c>
      <c r="B32" s="8" t="str">
        <f>CLEAN(SUBSTITUTE(IF(ISERROR(FIND("yokohama",Mail!$A30)),"",MID(Mail!$A30,FIND("yokohama",Mail!$A30)+LEN("yokohama")+1,FIND("件目",Mail!$A30,FIND("yokohama",Mail!$A30))-(FIND("yokohama",Mail!$A30)+LEN("yokohama")+1)))," ",""))</f>
        <v/>
      </c>
      <c r="C32" s="9" t="str">
        <f t="shared" si="0"/>
        <v/>
      </c>
      <c r="D32" s="9" t="str">
        <f t="shared" si="2"/>
        <v/>
      </c>
      <c r="E32" s="8" t="str">
        <f t="shared" si="3"/>
        <v/>
      </c>
      <c r="F32" s="8" t="str">
        <f>TRIM(CLEAN(IF(ISERROR(FIND(F$2,Mail!$A30)),"",MID(Mail!$A30,FIND(F$2,Mail!$A30)+LEN(F$2)+1,IF(ISERROR(FIND("■",Mail!$A30,FIND(F$2,Mail!$A30)+LEN(F$2))-FIND(F$2,Mail!$A30)-LEN(F$2)),LEN(Mail!$A30)-60-FIND(F$2,Mail!$A30)-LEN(F$2),FIND("■",Mail!$A30,FIND(F$2,Mail!$A30)+LEN(F$2))-FIND(F$2,Mail!$A30)-LEN(F$2)-1)))))</f>
        <v/>
      </c>
      <c r="G32" s="8" t="str">
        <f>TRIM(CLEAN(IF(ISERROR(FIND(G$2,Mail!$A30)),"",MID(Mail!$A30,FIND(G$2,Mail!$A30)+LEN(G$2)+1,IF(ISERROR(FIND("■",Mail!$A30,FIND(G$2,Mail!$A30)+LEN(G$2))-FIND(G$2,Mail!$A30)-LEN(G$2)),LEN(Mail!$A30)-60-FIND(G$2,Mail!$A30)-LEN(G$2),FIND("■",Mail!$A30,FIND(G$2,Mail!$A30)+LEN(G$2))-FIND(G$2,Mail!$A30)-LEN(G$2)-1)))))</f>
        <v/>
      </c>
      <c r="H32" s="8" t="str">
        <f>TRIM(CLEAN(IF(ISERROR(FIND(H$2,Mail!$A30)),"",MID(Mail!$A30,FIND(H$2,Mail!$A30)+LEN(H$2)+1,IF(ISERROR(FIND("■",Mail!$A30,FIND(H$2,Mail!$A30)+LEN(H$2))-FIND(H$2,Mail!$A30)-LEN(H$2)),LEN(Mail!$A30)-60-FIND(H$2,Mail!$A30)-LEN(H$2),FIND("■",Mail!$A30,FIND(H$2,Mail!$A30)+LEN(H$2))-FIND(H$2,Mail!$A30)-LEN(H$2)-1)))))</f>
        <v/>
      </c>
      <c r="I32" s="8" t="str">
        <f>TRIM(CLEAN(IF(ISERROR(FIND(I$2,Mail!$A30)),"",MID(Mail!$A30,FIND(I$2,Mail!$A30)+LEN(I$2)+1,IF(ISERROR(FIND("■",Mail!$A30,FIND(I$2,Mail!$A30)+LEN(I$2))-FIND(I$2,Mail!$A30)-LEN(I$2)),LEN(Mail!$A30)-60-FIND(I$2,Mail!$A30)-LEN(I$2),FIND("■",Mail!$A30,FIND(I$2,Mail!$A30)+LEN(I$2))-FIND(I$2,Mail!$A30)-LEN(I$2)-1)))))</f>
        <v/>
      </c>
      <c r="J32" s="8" t="str">
        <f>TRIM(IF(ISERROR(FIND(J$2,Mail!$A30)),"",MID(Mail!$A30,FIND(J$2,Mail!$A30)+LEN(J$2)+1,IF(ISERROR(FIND("■",Mail!$A30,FIND(J$2,Mail!$A30)+LEN(J$2))-FIND(J$2,Mail!$A30)-LEN(J$2)),LEN(Mail!$A30)-60-FIND(J$2,Mail!$A30)-LEN(J$2),FIND("■",Mail!$A30,FIND(J$2,Mail!$A30)+LEN(J$2))-FIND(J$2,Mail!$A30)-LEN(J$2)-1))))</f>
        <v/>
      </c>
      <c r="K32" s="8" t="str">
        <f>TRIM(IF(ISERROR(FIND(K$2,Mail!$A30)),"",MID(Mail!$A30,FIND(K$2,Mail!$A30)+LEN(K$2)+1,IF(ISERROR(FIND("■",Mail!$A30,FIND(K$2,Mail!$A30)+LEN(K$2))-FIND(K$2,Mail!$A30)-LEN(K$2)),LEN(Mail!$A30)-60-FIND(K$2,Mail!$A30)-LEN(K$2),FIND("■",Mail!$A30,FIND(K$2,Mail!$A30)+LEN(K$2))-FIND(K$2,Mail!$A30)-LEN(K$2)-1))))</f>
        <v/>
      </c>
      <c r="L32" s="8" t="str">
        <f>TRIM(IF(ISERROR(FIND(L$2,Mail!$A30)),"",MID(Mail!$A30,FIND(L$2,Mail!$A30)+LEN(L$2)+1,IF(ISERROR(FIND("■",Mail!$A30,FIND(L$2,Mail!$A30)+LEN(L$2))-FIND(L$2,Mail!$A30)-LEN(L$2)),LEN(Mail!$A30)-60-FIND(L$2,Mail!$A30)-LEN(L$2),FIND("■",Mail!$A30,FIND(L$2,Mail!$A30)+LEN(L$2))-FIND(L$2,Mail!$A30)-LEN(L$2)-1))))</f>
        <v/>
      </c>
      <c r="M32" s="8" t="str">
        <f>TRIM(CLEAN(IF(ISERROR(FIND(M$2,Mail!$A30)),"",MID(Mail!$A30,FIND(M$2,Mail!$A30)+LEN(M$2)+1,IF(ISERROR(FIND("■",Mail!$A30,FIND(M$2,Mail!$A30)+LEN(M$2))-FIND(M$2,Mail!$A30)-LEN(M$2)),LEN(Mail!$A30)-60-FIND(M$2,Mail!$A30)-LEN(M$2),FIND("■",Mail!$A30,FIND(M$2,Mail!$A30)+LEN(M$2))-FIND(M$2,Mail!$A30)-LEN(M$2)-1)))))</f>
        <v/>
      </c>
      <c r="N32" s="8" t="str">
        <f>TRIM(CLEAN(IF(ISERROR(FIND(N$2,Mail!$A30)),"",MID(Mail!$A30,FIND(N$2,Mail!$A30)+LEN(N$2)+1,IF(ISERROR(FIND("■",Mail!$A30,FIND(N$2,Mail!$A30)+LEN(N$2))-FIND(N$2,Mail!$A30)-LEN(N$2)),LEN(Mail!$A30)-60-FIND(N$2,Mail!$A30)-LEN(N$2),FIND("■",Mail!$A30,FIND(N$2,Mail!$A30)+LEN(N$2))-FIND(N$2,Mail!$A30)-LEN(N$2)-1)))))</f>
        <v/>
      </c>
      <c r="O32" s="8" t="str">
        <f>TRIM(CLEAN(IF(ISERROR(FIND(O$2,Mail!$A30)),"",MID(Mail!$A30,FIND(O$2,Mail!$A30)+LEN(O$2)+1,IF(ISERROR(FIND("■",Mail!$A30,FIND(O$2,Mail!$A30)+LEN(O$2))-FIND(O$2,Mail!$A30)-LEN(O$2)),LEN(Mail!$A30)-60-FIND(O$2,Mail!$A30)-LEN(O$2),FIND("■",Mail!$A30,FIND(O$2,Mail!$A30)+LEN(O$2))-FIND(O$2,Mail!$A30)-LEN(O$2)-1)))))</f>
        <v/>
      </c>
      <c r="P32" s="8" t="str">
        <f>TRIM(CLEAN(IF(ISERROR(FIND(P$2,Mail!$A30)),"",MID(Mail!$A30,FIND(P$2,Mail!$A30)+LEN(P$2)+1,IF(ISERROR(FIND("■",Mail!$A30,FIND(P$2,Mail!$A30)+LEN(P$2))-FIND(P$2,Mail!$A30)-LEN(P$2)),LEN(Mail!$A30)-60-FIND(P$2,Mail!$A30)-LEN(P$2),FIND("■",Mail!$A30,FIND(P$2,Mail!$A30)+LEN(P$2))-FIND(P$2,Mail!$A30)-LEN(P$2)-1)))))</f>
        <v/>
      </c>
      <c r="Q32" s="8" t="str">
        <f>TRIM(CLEAN(IF(ISERROR(FIND(Q$2,Mail!$A30)),"",MID(Mail!$A30,FIND(Q$2,Mail!$A30)+LEN(Q$2)+1,IF(ISERROR(FIND("■",Mail!$A30,FIND(Q$2,Mail!$A30)+LEN(Q$2))-FIND(Q$2,Mail!$A30)-LEN(Q$2)),LEN(Mail!$A30)-60-FIND(Q$2,Mail!$A30)-LEN(Q$2),FIND("■",Mail!$A30,FIND(Q$2,Mail!$A30)+LEN(Q$2))-FIND(Q$2,Mail!$A30)-LEN(Q$2)-1)))))</f>
        <v/>
      </c>
      <c r="R32" s="8" t="str">
        <f>TRIM(CLEAN(IF(ISERROR(FIND(R$2,Mail!$A30)),"",MID(Mail!$A30,FIND(R$2,Mail!$A30)+LEN(R$2)+1,IF(ISERROR(FIND("■",Mail!$A30,FIND(R$2,Mail!$A30)+LEN(R$2))-FIND(R$2,Mail!$A30)-LEN(R$2)),LEN(Mail!$A30)-60-FIND(R$2,Mail!$A30)-LEN(R$2),FIND("■",Mail!$A30,FIND(R$2,Mail!$A30)+LEN(R$2))-FIND(R$2,Mail!$A30)-LEN(R$2)-1)))))</f>
        <v/>
      </c>
      <c r="S32" s="8" t="str">
        <f>TRIM(CLEAN(IF(ISERROR(FIND(S$2,Mail!$A30)),"",MID(Mail!$A30,FIND(S$2,Mail!$A30)+LEN(S$2)+1,IF(ISERROR(FIND("■",Mail!$A30,FIND(S$2,Mail!$A30)+LEN(S$2))-FIND(S$2,Mail!$A30)-LEN(S$2)),LEN(Mail!$A30)-60-FIND(S$2,Mail!$A30)-LEN(S$2),FIND("■",Mail!$A30,FIND(S$2,Mail!$A30)+LEN(S$2))-FIND(S$2,Mail!$A30)-LEN(S$2)-1)))))</f>
        <v/>
      </c>
      <c r="T32" s="8" t="str">
        <f>TRIM(CLEAN(IF(ISERROR(FIND(T$2,Mail!$A30)),"",MID(Mail!$A30,FIND(T$2,Mail!$A30)+LEN(T$2)+1,IF(ISERROR(FIND("■",Mail!$A30,FIND(T$2,Mail!$A30)+LEN(T$2))-FIND(T$2,Mail!$A30)-LEN(T$2)),LEN(Mail!$A30)-60-FIND(T$2,Mail!$A30)-LEN(T$2),FIND("■",Mail!$A30,FIND(T$2,Mail!$A30)+LEN(T$2))-FIND(T$2,Mail!$A30)-LEN(T$2)-1)))))</f>
        <v/>
      </c>
      <c r="U32" s="8" t="str">
        <f>TRIM(CLEAN(IF(ISERROR(FIND(U$2,Mail!$A30)),"",MID(Mail!$A30,FIND(U$2,Mail!$A30)+LEN(U$2)+1,IF(ISERROR(FIND("■",Mail!$A30,FIND(U$2,Mail!$A30)+LEN(U$2))-FIND(U$2,Mail!$A30)-LEN(U$2)),LEN(Mail!$A30)-60-FIND(U$2,Mail!$A30)-LEN(U$2),FIND("■",Mail!$A30,FIND(U$2,Mail!$A30)+LEN(U$2))-FIND(U$2,Mail!$A30)-LEN(U$2)-1)))))</f>
        <v/>
      </c>
      <c r="V32" s="8" t="str">
        <f>TRIM(CLEAN(IF(ISERROR(FIND(V$2,Mail!$A30)),"",MID(Mail!$A30,FIND(V$2,Mail!$A30)+LEN(V$2)+1,IF(ISERROR(FIND("■",Mail!$A30,FIND(V$2,Mail!$A30)+LEN(V$2))-FIND(V$2,Mail!$A30)-LEN(V$2)),LEN(Mail!$A30)-60-FIND(V$2,Mail!$A30)-LEN(V$2),FIND("■",Mail!$A30,FIND(V$2,Mail!$A30)+LEN(V$2))-FIND(V$2,Mail!$A30)-LEN(V$2)-1)))))</f>
        <v/>
      </c>
      <c r="W32" s="8" t="str">
        <f>TRIM(CLEAN(IF(ISERROR(FIND(W$2,Mail!$A30)),"",MID(Mail!$A30,FIND(W$2,Mail!$A30)+LEN(W$2)+1,IF(ISERROR(FIND("■",Mail!$A30,FIND(W$2,Mail!$A30)+LEN(W$2))-FIND(W$2,Mail!$A30)-LEN(W$2)),LEN(Mail!$A30)-60-FIND(W$2,Mail!$A30)-LEN(W$2),FIND("■",Mail!$A30,FIND(W$2,Mail!$A30)+LEN(W$2))-FIND(W$2,Mail!$A30)-LEN(W$2)-1)))))</f>
        <v/>
      </c>
      <c r="X32" s="8" t="str">
        <f>TRIM(IF(ISERROR(FIND(X$2,Mail!$A30)),"",MID(Mail!$A30,FIND(X$2,Mail!$A30)+LEN(X$2)+1,IF(ISERROR(FIND("■",Mail!$A30,FIND(X$2,Mail!$A30)+LEN(X$2))-FIND(X$2,Mail!$A30)-LEN(X$2)),LEN(Mail!$A30)-60-FIND(X$2,Mail!$A30)-LEN(X$2),FIND("■",Mail!$A30,FIND(X$2,Mail!$A30)+LEN(X$2))-FIND(X$2,Mail!$A30)-LEN(X$2)-1))))</f>
        <v/>
      </c>
      <c r="Y32" s="8" t="str">
        <f>TRIM(CLEAN(IF(ISERROR(FIND(Y$2,Mail!$A30)),"",MID(Mail!$A30,FIND(Y$2,Mail!$A30)+LEN(Y$2)+1,IF(ISERROR(FIND("■",Mail!$A30,FIND(Y$2,Mail!$A30)+LEN(Y$2))-FIND(Y$2,Mail!$A30)-LEN(Y$2)),LEN(Mail!$A30)-60-FIND(Y$2,Mail!$A30)-LEN(Y$2),FIND("■",Mail!$A30,FIND(Y$2,Mail!$A30)+LEN(Y$2))-FIND(Y$2,Mail!$A30)-LEN(Y$2)-1)))))</f>
        <v/>
      </c>
      <c r="Z32" s="8" t="str">
        <f>TRIM(CLEAN(IF(ISERROR(FIND(Z$2,Mail!$A30)),"",MID(Mail!$A30,FIND(Z$2,Mail!$A30)+LEN(Z$2)+1,IF(ISERROR(FIND("■",Mail!$A30,FIND(Z$2,Mail!$A30)+LEN(Z$2))-FIND(Z$2,Mail!$A30)-LEN(Z$2)),LEN(Mail!$A30)-60-FIND(Z$2,Mail!$A30)-LEN(Z$2),FIND("■",Mail!$A30,FIND(Z$2,Mail!$A30)+LEN(Z$2))-FIND(Z$2,Mail!$A30)-LEN(Z$2)-1)))))</f>
        <v/>
      </c>
      <c r="AA32" s="8" t="str">
        <f>TRIM(CLEAN(IF(ISERROR(FIND(AA$2,Mail!$A30)),"",MID(Mail!$A30,FIND(AA$2,Mail!$A30)+LEN(AA$2)+1,IF(ISERROR(FIND("■",Mail!$A30,FIND(AA$2,Mail!$A30)+LEN(AA$2))-FIND(AA$2,Mail!$A30)-LEN(AA$2)),LEN(Mail!$A30)-60-FIND(AA$2,Mail!$A30)-LEN(AA$2),FIND("■",Mail!$A30,FIND(AA$2,Mail!$A30)+LEN(AA$2))-FIND(AA$2,Mail!$A30)-LEN(AA$2)-1)))))</f>
        <v/>
      </c>
      <c r="AB32" s="8" t="str">
        <f>TRIM(CLEAN(IF(ISERROR(FIND(AB$2,Mail!$A30)),"",MID(Mail!$A30,FIND(AB$2,Mail!$A30)+LEN(AB$2)+1,IF(ISERROR(FIND("■",Mail!$A30,FIND(AB$2,Mail!$A30)+LEN(AB$2))-FIND(AB$2,Mail!$A30)-LEN(AB$2)),LEN(Mail!$A30)-60-FIND(AB$2,Mail!$A30)-LEN(AB$2),FIND("■",Mail!$A30,FIND(AB$2,Mail!$A30)+LEN(AB$2))-FIND(AB$2,Mail!$A30)-LEN(AB$2)-1)))))</f>
        <v/>
      </c>
      <c r="AC32" s="8" t="str">
        <f>TRIM(CLEAN(IF(ISERROR(FIND(AC$2,Mail!$A30)),"",MID(Mail!$A30,FIND(AC$2,Mail!$A30)+LEN(AC$2)+1,IF(ISERROR(FIND("■",Mail!$A30,FIND(AC$2,Mail!$A30)+LEN(AC$2))-FIND(AC$2,Mail!$A30)-LEN(AC$2)),LEN(Mail!$A30)-60-FIND(AC$2,Mail!$A30)-LEN(AC$2),FIND("■",Mail!$A30,FIND(AC$2,Mail!$A30)+LEN(AC$2))-FIND(AC$2,Mail!$A30)-LEN(AC$2)-1)))))</f>
        <v/>
      </c>
      <c r="AD32" s="8" t="str">
        <f>TRIM(CLEAN(IF(ISERROR(FIND(AD$2,Mail!$A30)),"",MID(Mail!$A30,FIND(AD$2,Mail!$A30)+LEN(AD$2)+1,IF(ISERROR(FIND("■",Mail!$A30,FIND(AD$2,Mail!$A30)+LEN(AD$2))-FIND(AD$2,Mail!$A30)-LEN(AD$2)),LEN(Mail!$A30)-60-FIND(AD$2,Mail!$A30)-LEN(AD$2),FIND("■",Mail!$A30,FIND(AD$2,Mail!$A30)+LEN(AD$2))-FIND(AD$2,Mail!$A30)-LEN(AD$2)-1)))))</f>
        <v/>
      </c>
      <c r="AE32" s="8" t="str">
        <f>TRIM(CLEAN(IF(ISERROR(FIND(AE$2,Mail!$A30)),"",MID(Mail!$A30,FIND(AE$2,Mail!$A30)+LEN(AE$2)+1,IF(ISERROR(FIND("■",Mail!$A30,FIND(AE$2,Mail!$A30)+LEN(AE$2))-FIND(AE$2,Mail!$A30)-LEN(AE$2)),LEN(Mail!$A30)-60-FIND(AE$2,Mail!$A30)-LEN(AE$2),FIND("■",Mail!$A30,FIND(AE$2,Mail!$A30)+LEN(AE$2))-FIND(AE$2,Mail!$A30)-LEN(AE$2)-1)))))</f>
        <v/>
      </c>
      <c r="AF32" s="8" t="str">
        <f>TRIM(CLEAN(IF(ISERROR(FIND(AF$2,Mail!$A30)),"",MID(Mail!$A30,FIND(AF$2,Mail!$A30)+LEN(AF$2)+1,IF(ISERROR(FIND("■",Mail!$A30,FIND(AF$2,Mail!$A30)+LEN(AF$2))-FIND(AF$2,Mail!$A30)-LEN(AF$2)),LEN(Mail!$A30)-60-FIND(AF$2,Mail!$A30)-LEN(AF$2),FIND("■",Mail!$A30,FIND(AF$2,Mail!$A30)+LEN(AF$2))-FIND(AF$2,Mail!$A30)-LEN(AF$2)-1)))))</f>
        <v/>
      </c>
      <c r="AG32" s="8" t="str">
        <f>TRIM(IF(ISERROR(FIND(AG$2,Mail!$A30)),"",MID(Mail!$A30,FIND(AG$2,Mail!$A30)+LEN(AG$2)+1,IF(ISERROR(FIND("■",Mail!$A30,FIND(AG$2,Mail!$A30)+LEN(AG$2))-FIND(AG$2,Mail!$A30)-LEN(AG$2)),LEN(Mail!$A30)-60-FIND(AG$2,Mail!$A30)-LEN(AG$2),FIND("■",Mail!$A30,FIND(AG$2,Mail!$A30)+LEN(AG$2))-FIND(AG$2,Mail!$A30)-LEN(AG$2)-1))))</f>
        <v/>
      </c>
      <c r="AH32" s="8" t="str">
        <f>TRIM(IF(ISERROR(FIND(AH$2,Mail!$A30)),"",MID(Mail!$A30,FIND(AH$2,Mail!$A30)+LEN(AH$2)+1,IF(ISERROR(FIND("■",Mail!$A30,FIND(AH$2,Mail!$A30)+LEN(AH$2))-FIND(AH$2,Mail!$A30)-LEN(AH$2)),LEN(Mail!$A30)-60-FIND(AH$2,Mail!$A30)-LEN(AH$2),FIND("■",Mail!$A30,FIND(AH$2,Mail!$A30)+LEN(AH$2))-FIND(AH$2,Mail!$A30)-LEN(AH$2)-1))))</f>
        <v/>
      </c>
      <c r="AI32" s="8" t="str">
        <f>TRIM(IF(ISERROR(FIND(AI$2,Mail!$A30)),"",MID(Mail!$A30,FIND(AI$2,Mail!$A30)+LEN(AI$2)+1,IF(ISERROR(FIND("■",Mail!$A30,FIND(AI$2,Mail!$A30)+LEN(AI$2))-FIND(AI$2,Mail!$A30)-LEN(AI$2)),LEN(Mail!$A30)-60-FIND(AI$2,Mail!$A30)-LEN(AI$2),FIND("■",Mail!$A30,FIND(AI$2,Mail!$A30)+LEN(AI$2))-FIND(AI$2,Mail!$A30)-LEN(AI$2)-1))))</f>
        <v/>
      </c>
    </row>
    <row r="33" spans="1:35" s="8" customFormat="1" x14ac:dyDescent="0.15">
      <c r="A33" s="9" t="str">
        <f t="shared" si="1"/>
        <v/>
      </c>
      <c r="B33" s="8" t="str">
        <f>CLEAN(SUBSTITUTE(IF(ISERROR(FIND("yokohama",Mail!$A31)),"",MID(Mail!$A31,FIND("yokohama",Mail!$A31)+LEN("yokohama")+1,FIND("件目",Mail!$A31,FIND("yokohama",Mail!$A31))-(FIND("yokohama",Mail!$A31)+LEN("yokohama")+1)))," ",""))</f>
        <v/>
      </c>
      <c r="C33" s="9" t="str">
        <f t="shared" si="0"/>
        <v/>
      </c>
      <c r="D33" s="9" t="str">
        <f t="shared" si="2"/>
        <v/>
      </c>
      <c r="E33" s="8" t="str">
        <f t="shared" si="3"/>
        <v/>
      </c>
      <c r="F33" s="8" t="str">
        <f>TRIM(CLEAN(IF(ISERROR(FIND(F$2,Mail!$A31)),"",MID(Mail!$A31,FIND(F$2,Mail!$A31)+LEN(F$2)+1,IF(ISERROR(FIND("■",Mail!$A31,FIND(F$2,Mail!$A31)+LEN(F$2))-FIND(F$2,Mail!$A31)-LEN(F$2)),LEN(Mail!$A31)-60-FIND(F$2,Mail!$A31)-LEN(F$2),FIND("■",Mail!$A31,FIND(F$2,Mail!$A31)+LEN(F$2))-FIND(F$2,Mail!$A31)-LEN(F$2)-1)))))</f>
        <v/>
      </c>
      <c r="G33" s="8" t="str">
        <f>TRIM(CLEAN(IF(ISERROR(FIND(G$2,Mail!$A31)),"",MID(Mail!$A31,FIND(G$2,Mail!$A31)+LEN(G$2)+1,IF(ISERROR(FIND("■",Mail!$A31,FIND(G$2,Mail!$A31)+LEN(G$2))-FIND(G$2,Mail!$A31)-LEN(G$2)),LEN(Mail!$A31)-60-FIND(G$2,Mail!$A31)-LEN(G$2),FIND("■",Mail!$A31,FIND(G$2,Mail!$A31)+LEN(G$2))-FIND(G$2,Mail!$A31)-LEN(G$2)-1)))))</f>
        <v/>
      </c>
      <c r="H33" s="8" t="str">
        <f>TRIM(CLEAN(IF(ISERROR(FIND(H$2,Mail!$A31)),"",MID(Mail!$A31,FIND(H$2,Mail!$A31)+LEN(H$2)+1,IF(ISERROR(FIND("■",Mail!$A31,FIND(H$2,Mail!$A31)+LEN(H$2))-FIND(H$2,Mail!$A31)-LEN(H$2)),LEN(Mail!$A31)-60-FIND(H$2,Mail!$A31)-LEN(H$2),FIND("■",Mail!$A31,FIND(H$2,Mail!$A31)+LEN(H$2))-FIND(H$2,Mail!$A31)-LEN(H$2)-1)))))</f>
        <v/>
      </c>
      <c r="I33" s="8" t="str">
        <f>TRIM(CLEAN(IF(ISERROR(FIND(I$2,Mail!$A31)),"",MID(Mail!$A31,FIND(I$2,Mail!$A31)+LEN(I$2)+1,IF(ISERROR(FIND("■",Mail!$A31,FIND(I$2,Mail!$A31)+LEN(I$2))-FIND(I$2,Mail!$A31)-LEN(I$2)),LEN(Mail!$A31)-60-FIND(I$2,Mail!$A31)-LEN(I$2),FIND("■",Mail!$A31,FIND(I$2,Mail!$A31)+LEN(I$2))-FIND(I$2,Mail!$A31)-LEN(I$2)-1)))))</f>
        <v/>
      </c>
      <c r="J33" s="8" t="str">
        <f>TRIM(IF(ISERROR(FIND(J$2,Mail!$A31)),"",MID(Mail!$A31,FIND(J$2,Mail!$A31)+LEN(J$2)+1,IF(ISERROR(FIND("■",Mail!$A31,FIND(J$2,Mail!$A31)+LEN(J$2))-FIND(J$2,Mail!$A31)-LEN(J$2)),LEN(Mail!$A31)-60-FIND(J$2,Mail!$A31)-LEN(J$2),FIND("■",Mail!$A31,FIND(J$2,Mail!$A31)+LEN(J$2))-FIND(J$2,Mail!$A31)-LEN(J$2)-1))))</f>
        <v/>
      </c>
      <c r="K33" s="8" t="str">
        <f>TRIM(IF(ISERROR(FIND(K$2,Mail!$A31)),"",MID(Mail!$A31,FIND(K$2,Mail!$A31)+LEN(K$2)+1,IF(ISERROR(FIND("■",Mail!$A31,FIND(K$2,Mail!$A31)+LEN(K$2))-FIND(K$2,Mail!$A31)-LEN(K$2)),LEN(Mail!$A31)-60-FIND(K$2,Mail!$A31)-LEN(K$2),FIND("■",Mail!$A31,FIND(K$2,Mail!$A31)+LEN(K$2))-FIND(K$2,Mail!$A31)-LEN(K$2)-1))))</f>
        <v/>
      </c>
      <c r="L33" s="8" t="str">
        <f>TRIM(IF(ISERROR(FIND(L$2,Mail!$A31)),"",MID(Mail!$A31,FIND(L$2,Mail!$A31)+LEN(L$2)+1,IF(ISERROR(FIND("■",Mail!$A31,FIND(L$2,Mail!$A31)+LEN(L$2))-FIND(L$2,Mail!$A31)-LEN(L$2)),LEN(Mail!$A31)-60-FIND(L$2,Mail!$A31)-LEN(L$2),FIND("■",Mail!$A31,FIND(L$2,Mail!$A31)+LEN(L$2))-FIND(L$2,Mail!$A31)-LEN(L$2)-1))))</f>
        <v/>
      </c>
      <c r="M33" s="8" t="str">
        <f>TRIM(CLEAN(IF(ISERROR(FIND(M$2,Mail!$A31)),"",MID(Mail!$A31,FIND(M$2,Mail!$A31)+LEN(M$2)+1,IF(ISERROR(FIND("■",Mail!$A31,FIND(M$2,Mail!$A31)+LEN(M$2))-FIND(M$2,Mail!$A31)-LEN(M$2)),LEN(Mail!$A31)-60-FIND(M$2,Mail!$A31)-LEN(M$2),FIND("■",Mail!$A31,FIND(M$2,Mail!$A31)+LEN(M$2))-FIND(M$2,Mail!$A31)-LEN(M$2)-1)))))</f>
        <v/>
      </c>
      <c r="N33" s="8" t="str">
        <f>TRIM(CLEAN(IF(ISERROR(FIND(N$2,Mail!$A31)),"",MID(Mail!$A31,FIND(N$2,Mail!$A31)+LEN(N$2)+1,IF(ISERROR(FIND("■",Mail!$A31,FIND(N$2,Mail!$A31)+LEN(N$2))-FIND(N$2,Mail!$A31)-LEN(N$2)),LEN(Mail!$A31)-60-FIND(N$2,Mail!$A31)-LEN(N$2),FIND("■",Mail!$A31,FIND(N$2,Mail!$A31)+LEN(N$2))-FIND(N$2,Mail!$A31)-LEN(N$2)-1)))))</f>
        <v/>
      </c>
      <c r="O33" s="8" t="str">
        <f>TRIM(CLEAN(IF(ISERROR(FIND(O$2,Mail!$A31)),"",MID(Mail!$A31,FIND(O$2,Mail!$A31)+LEN(O$2)+1,IF(ISERROR(FIND("■",Mail!$A31,FIND(O$2,Mail!$A31)+LEN(O$2))-FIND(O$2,Mail!$A31)-LEN(O$2)),LEN(Mail!$A31)-60-FIND(O$2,Mail!$A31)-LEN(O$2),FIND("■",Mail!$A31,FIND(O$2,Mail!$A31)+LEN(O$2))-FIND(O$2,Mail!$A31)-LEN(O$2)-1)))))</f>
        <v/>
      </c>
      <c r="P33" s="8" t="str">
        <f>TRIM(CLEAN(IF(ISERROR(FIND(P$2,Mail!$A31)),"",MID(Mail!$A31,FIND(P$2,Mail!$A31)+LEN(P$2)+1,IF(ISERROR(FIND("■",Mail!$A31,FIND(P$2,Mail!$A31)+LEN(P$2))-FIND(P$2,Mail!$A31)-LEN(P$2)),LEN(Mail!$A31)-60-FIND(P$2,Mail!$A31)-LEN(P$2),FIND("■",Mail!$A31,FIND(P$2,Mail!$A31)+LEN(P$2))-FIND(P$2,Mail!$A31)-LEN(P$2)-1)))))</f>
        <v/>
      </c>
      <c r="Q33" s="8" t="str">
        <f>TRIM(CLEAN(IF(ISERROR(FIND(Q$2,Mail!$A31)),"",MID(Mail!$A31,FIND(Q$2,Mail!$A31)+LEN(Q$2)+1,IF(ISERROR(FIND("■",Mail!$A31,FIND(Q$2,Mail!$A31)+LEN(Q$2))-FIND(Q$2,Mail!$A31)-LEN(Q$2)),LEN(Mail!$A31)-60-FIND(Q$2,Mail!$A31)-LEN(Q$2),FIND("■",Mail!$A31,FIND(Q$2,Mail!$A31)+LEN(Q$2))-FIND(Q$2,Mail!$A31)-LEN(Q$2)-1)))))</f>
        <v/>
      </c>
      <c r="R33" s="8" t="str">
        <f>TRIM(CLEAN(IF(ISERROR(FIND(R$2,Mail!$A31)),"",MID(Mail!$A31,FIND(R$2,Mail!$A31)+LEN(R$2)+1,IF(ISERROR(FIND("■",Mail!$A31,FIND(R$2,Mail!$A31)+LEN(R$2))-FIND(R$2,Mail!$A31)-LEN(R$2)),LEN(Mail!$A31)-60-FIND(R$2,Mail!$A31)-LEN(R$2),FIND("■",Mail!$A31,FIND(R$2,Mail!$A31)+LEN(R$2))-FIND(R$2,Mail!$A31)-LEN(R$2)-1)))))</f>
        <v/>
      </c>
      <c r="S33" s="8" t="str">
        <f>TRIM(CLEAN(IF(ISERROR(FIND(S$2,Mail!$A31)),"",MID(Mail!$A31,FIND(S$2,Mail!$A31)+LEN(S$2)+1,IF(ISERROR(FIND("■",Mail!$A31,FIND(S$2,Mail!$A31)+LEN(S$2))-FIND(S$2,Mail!$A31)-LEN(S$2)),LEN(Mail!$A31)-60-FIND(S$2,Mail!$A31)-LEN(S$2),FIND("■",Mail!$A31,FIND(S$2,Mail!$A31)+LEN(S$2))-FIND(S$2,Mail!$A31)-LEN(S$2)-1)))))</f>
        <v/>
      </c>
      <c r="T33" s="8" t="str">
        <f>TRIM(CLEAN(IF(ISERROR(FIND(T$2,Mail!$A31)),"",MID(Mail!$A31,FIND(T$2,Mail!$A31)+LEN(T$2)+1,IF(ISERROR(FIND("■",Mail!$A31,FIND(T$2,Mail!$A31)+LEN(T$2))-FIND(T$2,Mail!$A31)-LEN(T$2)),LEN(Mail!$A31)-60-FIND(T$2,Mail!$A31)-LEN(T$2),FIND("■",Mail!$A31,FIND(T$2,Mail!$A31)+LEN(T$2))-FIND(T$2,Mail!$A31)-LEN(T$2)-1)))))</f>
        <v/>
      </c>
      <c r="U33" s="8" t="str">
        <f>TRIM(CLEAN(IF(ISERROR(FIND(U$2,Mail!$A31)),"",MID(Mail!$A31,FIND(U$2,Mail!$A31)+LEN(U$2)+1,IF(ISERROR(FIND("■",Mail!$A31,FIND(U$2,Mail!$A31)+LEN(U$2))-FIND(U$2,Mail!$A31)-LEN(U$2)),LEN(Mail!$A31)-60-FIND(U$2,Mail!$A31)-LEN(U$2),FIND("■",Mail!$A31,FIND(U$2,Mail!$A31)+LEN(U$2))-FIND(U$2,Mail!$A31)-LEN(U$2)-1)))))</f>
        <v/>
      </c>
      <c r="V33" s="8" t="str">
        <f>TRIM(CLEAN(IF(ISERROR(FIND(V$2,Mail!$A31)),"",MID(Mail!$A31,FIND(V$2,Mail!$A31)+LEN(V$2)+1,IF(ISERROR(FIND("■",Mail!$A31,FIND(V$2,Mail!$A31)+LEN(V$2))-FIND(V$2,Mail!$A31)-LEN(V$2)),LEN(Mail!$A31)-60-FIND(V$2,Mail!$A31)-LEN(V$2),FIND("■",Mail!$A31,FIND(V$2,Mail!$A31)+LEN(V$2))-FIND(V$2,Mail!$A31)-LEN(V$2)-1)))))</f>
        <v/>
      </c>
      <c r="W33" s="8" t="str">
        <f>TRIM(CLEAN(IF(ISERROR(FIND(W$2,Mail!$A31)),"",MID(Mail!$A31,FIND(W$2,Mail!$A31)+LEN(W$2)+1,IF(ISERROR(FIND("■",Mail!$A31,FIND(W$2,Mail!$A31)+LEN(W$2))-FIND(W$2,Mail!$A31)-LEN(W$2)),LEN(Mail!$A31)-60-FIND(W$2,Mail!$A31)-LEN(W$2),FIND("■",Mail!$A31,FIND(W$2,Mail!$A31)+LEN(W$2))-FIND(W$2,Mail!$A31)-LEN(W$2)-1)))))</f>
        <v/>
      </c>
      <c r="X33" s="8" t="str">
        <f>TRIM(IF(ISERROR(FIND(X$2,Mail!$A31)),"",MID(Mail!$A31,FIND(X$2,Mail!$A31)+LEN(X$2)+1,IF(ISERROR(FIND("■",Mail!$A31,FIND(X$2,Mail!$A31)+LEN(X$2))-FIND(X$2,Mail!$A31)-LEN(X$2)),LEN(Mail!$A31)-60-FIND(X$2,Mail!$A31)-LEN(X$2),FIND("■",Mail!$A31,FIND(X$2,Mail!$A31)+LEN(X$2))-FIND(X$2,Mail!$A31)-LEN(X$2)-1))))</f>
        <v/>
      </c>
      <c r="Y33" s="8" t="str">
        <f>TRIM(CLEAN(IF(ISERROR(FIND(Y$2,Mail!$A31)),"",MID(Mail!$A31,FIND(Y$2,Mail!$A31)+LEN(Y$2)+1,IF(ISERROR(FIND("■",Mail!$A31,FIND(Y$2,Mail!$A31)+LEN(Y$2))-FIND(Y$2,Mail!$A31)-LEN(Y$2)),LEN(Mail!$A31)-60-FIND(Y$2,Mail!$A31)-LEN(Y$2),FIND("■",Mail!$A31,FIND(Y$2,Mail!$A31)+LEN(Y$2))-FIND(Y$2,Mail!$A31)-LEN(Y$2)-1)))))</f>
        <v/>
      </c>
      <c r="Z33" s="8" t="str">
        <f>TRIM(CLEAN(IF(ISERROR(FIND(Z$2,Mail!$A31)),"",MID(Mail!$A31,FIND(Z$2,Mail!$A31)+LEN(Z$2)+1,IF(ISERROR(FIND("■",Mail!$A31,FIND(Z$2,Mail!$A31)+LEN(Z$2))-FIND(Z$2,Mail!$A31)-LEN(Z$2)),LEN(Mail!$A31)-60-FIND(Z$2,Mail!$A31)-LEN(Z$2),FIND("■",Mail!$A31,FIND(Z$2,Mail!$A31)+LEN(Z$2))-FIND(Z$2,Mail!$A31)-LEN(Z$2)-1)))))</f>
        <v/>
      </c>
      <c r="AA33" s="8" t="str">
        <f>TRIM(CLEAN(IF(ISERROR(FIND(AA$2,Mail!$A31)),"",MID(Mail!$A31,FIND(AA$2,Mail!$A31)+LEN(AA$2)+1,IF(ISERROR(FIND("■",Mail!$A31,FIND(AA$2,Mail!$A31)+LEN(AA$2))-FIND(AA$2,Mail!$A31)-LEN(AA$2)),LEN(Mail!$A31)-60-FIND(AA$2,Mail!$A31)-LEN(AA$2),FIND("■",Mail!$A31,FIND(AA$2,Mail!$A31)+LEN(AA$2))-FIND(AA$2,Mail!$A31)-LEN(AA$2)-1)))))</f>
        <v/>
      </c>
      <c r="AB33" s="8" t="str">
        <f>TRIM(CLEAN(IF(ISERROR(FIND(AB$2,Mail!$A31)),"",MID(Mail!$A31,FIND(AB$2,Mail!$A31)+LEN(AB$2)+1,IF(ISERROR(FIND("■",Mail!$A31,FIND(AB$2,Mail!$A31)+LEN(AB$2))-FIND(AB$2,Mail!$A31)-LEN(AB$2)),LEN(Mail!$A31)-60-FIND(AB$2,Mail!$A31)-LEN(AB$2),FIND("■",Mail!$A31,FIND(AB$2,Mail!$A31)+LEN(AB$2))-FIND(AB$2,Mail!$A31)-LEN(AB$2)-1)))))</f>
        <v/>
      </c>
      <c r="AC33" s="8" t="str">
        <f>TRIM(CLEAN(IF(ISERROR(FIND(AC$2,Mail!$A31)),"",MID(Mail!$A31,FIND(AC$2,Mail!$A31)+LEN(AC$2)+1,IF(ISERROR(FIND("■",Mail!$A31,FIND(AC$2,Mail!$A31)+LEN(AC$2))-FIND(AC$2,Mail!$A31)-LEN(AC$2)),LEN(Mail!$A31)-60-FIND(AC$2,Mail!$A31)-LEN(AC$2),FIND("■",Mail!$A31,FIND(AC$2,Mail!$A31)+LEN(AC$2))-FIND(AC$2,Mail!$A31)-LEN(AC$2)-1)))))</f>
        <v/>
      </c>
      <c r="AD33" s="8" t="str">
        <f>TRIM(CLEAN(IF(ISERROR(FIND(AD$2,Mail!$A31)),"",MID(Mail!$A31,FIND(AD$2,Mail!$A31)+LEN(AD$2)+1,IF(ISERROR(FIND("■",Mail!$A31,FIND(AD$2,Mail!$A31)+LEN(AD$2))-FIND(AD$2,Mail!$A31)-LEN(AD$2)),LEN(Mail!$A31)-60-FIND(AD$2,Mail!$A31)-LEN(AD$2),FIND("■",Mail!$A31,FIND(AD$2,Mail!$A31)+LEN(AD$2))-FIND(AD$2,Mail!$A31)-LEN(AD$2)-1)))))</f>
        <v/>
      </c>
      <c r="AE33" s="8" t="str">
        <f>TRIM(CLEAN(IF(ISERROR(FIND(AE$2,Mail!$A31)),"",MID(Mail!$A31,FIND(AE$2,Mail!$A31)+LEN(AE$2)+1,IF(ISERROR(FIND("■",Mail!$A31,FIND(AE$2,Mail!$A31)+LEN(AE$2))-FIND(AE$2,Mail!$A31)-LEN(AE$2)),LEN(Mail!$A31)-60-FIND(AE$2,Mail!$A31)-LEN(AE$2),FIND("■",Mail!$A31,FIND(AE$2,Mail!$A31)+LEN(AE$2))-FIND(AE$2,Mail!$A31)-LEN(AE$2)-1)))))</f>
        <v/>
      </c>
      <c r="AF33" s="8" t="str">
        <f>TRIM(CLEAN(IF(ISERROR(FIND(AF$2,Mail!$A31)),"",MID(Mail!$A31,FIND(AF$2,Mail!$A31)+LEN(AF$2)+1,IF(ISERROR(FIND("■",Mail!$A31,FIND(AF$2,Mail!$A31)+LEN(AF$2))-FIND(AF$2,Mail!$A31)-LEN(AF$2)),LEN(Mail!$A31)-60-FIND(AF$2,Mail!$A31)-LEN(AF$2),FIND("■",Mail!$A31,FIND(AF$2,Mail!$A31)+LEN(AF$2))-FIND(AF$2,Mail!$A31)-LEN(AF$2)-1)))))</f>
        <v/>
      </c>
      <c r="AG33" s="8" t="str">
        <f>TRIM(IF(ISERROR(FIND(AG$2,Mail!$A31)),"",MID(Mail!$A31,FIND(AG$2,Mail!$A31)+LEN(AG$2)+1,IF(ISERROR(FIND("■",Mail!$A31,FIND(AG$2,Mail!$A31)+LEN(AG$2))-FIND(AG$2,Mail!$A31)-LEN(AG$2)),LEN(Mail!$A31)-60-FIND(AG$2,Mail!$A31)-LEN(AG$2),FIND("■",Mail!$A31,FIND(AG$2,Mail!$A31)+LEN(AG$2))-FIND(AG$2,Mail!$A31)-LEN(AG$2)-1))))</f>
        <v/>
      </c>
      <c r="AH33" s="8" t="str">
        <f>TRIM(IF(ISERROR(FIND(AH$2,Mail!$A31)),"",MID(Mail!$A31,FIND(AH$2,Mail!$A31)+LEN(AH$2)+1,IF(ISERROR(FIND("■",Mail!$A31,FIND(AH$2,Mail!$A31)+LEN(AH$2))-FIND(AH$2,Mail!$A31)-LEN(AH$2)),LEN(Mail!$A31)-60-FIND(AH$2,Mail!$A31)-LEN(AH$2),FIND("■",Mail!$A31,FIND(AH$2,Mail!$A31)+LEN(AH$2))-FIND(AH$2,Mail!$A31)-LEN(AH$2)-1))))</f>
        <v/>
      </c>
      <c r="AI33" s="8" t="str">
        <f>TRIM(IF(ISERROR(FIND(AI$2,Mail!$A31)),"",MID(Mail!$A31,FIND(AI$2,Mail!$A31)+LEN(AI$2)+1,IF(ISERROR(FIND("■",Mail!$A31,FIND(AI$2,Mail!$A31)+LEN(AI$2))-FIND(AI$2,Mail!$A31)-LEN(AI$2)),LEN(Mail!$A31)-60-FIND(AI$2,Mail!$A31)-LEN(AI$2),FIND("■",Mail!$A31,FIND(AI$2,Mail!$A31)+LEN(AI$2))-FIND(AI$2,Mail!$A31)-LEN(AI$2)-1))))</f>
        <v/>
      </c>
    </row>
    <row r="34" spans="1:35" s="8" customFormat="1" x14ac:dyDescent="0.15">
      <c r="A34" s="9" t="str">
        <f t="shared" si="1"/>
        <v/>
      </c>
      <c r="B34" s="8" t="str">
        <f>CLEAN(SUBSTITUTE(IF(ISERROR(FIND("yokohama",Mail!$A32)),"",MID(Mail!$A32,FIND("yokohama",Mail!$A32)+LEN("yokohama")+1,FIND("件目",Mail!$A32,FIND("yokohama",Mail!$A32))-(FIND("yokohama",Mail!$A32)+LEN("yokohama")+1)))," ",""))</f>
        <v/>
      </c>
      <c r="C34" s="9" t="str">
        <f t="shared" si="0"/>
        <v/>
      </c>
      <c r="D34" s="9" t="str">
        <f t="shared" si="2"/>
        <v/>
      </c>
      <c r="E34" s="8" t="str">
        <f t="shared" si="3"/>
        <v/>
      </c>
      <c r="F34" s="8" t="str">
        <f>TRIM(CLEAN(IF(ISERROR(FIND(F$2,Mail!$A32)),"",MID(Mail!$A32,FIND(F$2,Mail!$A32)+LEN(F$2)+1,IF(ISERROR(FIND("■",Mail!$A32,FIND(F$2,Mail!$A32)+LEN(F$2))-FIND(F$2,Mail!$A32)-LEN(F$2)),LEN(Mail!$A32)-60-FIND(F$2,Mail!$A32)-LEN(F$2),FIND("■",Mail!$A32,FIND(F$2,Mail!$A32)+LEN(F$2))-FIND(F$2,Mail!$A32)-LEN(F$2)-1)))))</f>
        <v/>
      </c>
      <c r="G34" s="8" t="str">
        <f>TRIM(CLEAN(IF(ISERROR(FIND(G$2,Mail!$A32)),"",MID(Mail!$A32,FIND(G$2,Mail!$A32)+LEN(G$2)+1,IF(ISERROR(FIND("■",Mail!$A32,FIND(G$2,Mail!$A32)+LEN(G$2))-FIND(G$2,Mail!$A32)-LEN(G$2)),LEN(Mail!$A32)-60-FIND(G$2,Mail!$A32)-LEN(G$2),FIND("■",Mail!$A32,FIND(G$2,Mail!$A32)+LEN(G$2))-FIND(G$2,Mail!$A32)-LEN(G$2)-1)))))</f>
        <v/>
      </c>
      <c r="H34" s="8" t="str">
        <f>TRIM(CLEAN(IF(ISERROR(FIND(H$2,Mail!$A32)),"",MID(Mail!$A32,FIND(H$2,Mail!$A32)+LEN(H$2)+1,IF(ISERROR(FIND("■",Mail!$A32,FIND(H$2,Mail!$A32)+LEN(H$2))-FIND(H$2,Mail!$A32)-LEN(H$2)),LEN(Mail!$A32)-60-FIND(H$2,Mail!$A32)-LEN(H$2),FIND("■",Mail!$A32,FIND(H$2,Mail!$A32)+LEN(H$2))-FIND(H$2,Mail!$A32)-LEN(H$2)-1)))))</f>
        <v/>
      </c>
      <c r="I34" s="8" t="str">
        <f>TRIM(CLEAN(IF(ISERROR(FIND(I$2,Mail!$A32)),"",MID(Mail!$A32,FIND(I$2,Mail!$A32)+LEN(I$2)+1,IF(ISERROR(FIND("■",Mail!$A32,FIND(I$2,Mail!$A32)+LEN(I$2))-FIND(I$2,Mail!$A32)-LEN(I$2)),LEN(Mail!$A32)-60-FIND(I$2,Mail!$A32)-LEN(I$2),FIND("■",Mail!$A32,FIND(I$2,Mail!$A32)+LEN(I$2))-FIND(I$2,Mail!$A32)-LEN(I$2)-1)))))</f>
        <v/>
      </c>
      <c r="J34" s="8" t="str">
        <f>TRIM(IF(ISERROR(FIND(J$2,Mail!$A32)),"",MID(Mail!$A32,FIND(J$2,Mail!$A32)+LEN(J$2)+1,IF(ISERROR(FIND("■",Mail!$A32,FIND(J$2,Mail!$A32)+LEN(J$2))-FIND(J$2,Mail!$A32)-LEN(J$2)),LEN(Mail!$A32)-60-FIND(J$2,Mail!$A32)-LEN(J$2),FIND("■",Mail!$A32,FIND(J$2,Mail!$A32)+LEN(J$2))-FIND(J$2,Mail!$A32)-LEN(J$2)-1))))</f>
        <v/>
      </c>
      <c r="K34" s="8" t="str">
        <f>TRIM(IF(ISERROR(FIND(K$2,Mail!$A32)),"",MID(Mail!$A32,FIND(K$2,Mail!$A32)+LEN(K$2)+1,IF(ISERROR(FIND("■",Mail!$A32,FIND(K$2,Mail!$A32)+LEN(K$2))-FIND(K$2,Mail!$A32)-LEN(K$2)),LEN(Mail!$A32)-60-FIND(K$2,Mail!$A32)-LEN(K$2),FIND("■",Mail!$A32,FIND(K$2,Mail!$A32)+LEN(K$2))-FIND(K$2,Mail!$A32)-LEN(K$2)-1))))</f>
        <v/>
      </c>
      <c r="L34" s="8" t="str">
        <f>TRIM(IF(ISERROR(FIND(L$2,Mail!$A32)),"",MID(Mail!$A32,FIND(L$2,Mail!$A32)+LEN(L$2)+1,IF(ISERROR(FIND("■",Mail!$A32,FIND(L$2,Mail!$A32)+LEN(L$2))-FIND(L$2,Mail!$A32)-LEN(L$2)),LEN(Mail!$A32)-60-FIND(L$2,Mail!$A32)-LEN(L$2),FIND("■",Mail!$A32,FIND(L$2,Mail!$A32)+LEN(L$2))-FIND(L$2,Mail!$A32)-LEN(L$2)-1))))</f>
        <v/>
      </c>
      <c r="M34" s="8" t="str">
        <f>TRIM(CLEAN(IF(ISERROR(FIND(M$2,Mail!$A32)),"",MID(Mail!$A32,FIND(M$2,Mail!$A32)+LEN(M$2)+1,IF(ISERROR(FIND("■",Mail!$A32,FIND(M$2,Mail!$A32)+LEN(M$2))-FIND(M$2,Mail!$A32)-LEN(M$2)),LEN(Mail!$A32)-60-FIND(M$2,Mail!$A32)-LEN(M$2),FIND("■",Mail!$A32,FIND(M$2,Mail!$A32)+LEN(M$2))-FIND(M$2,Mail!$A32)-LEN(M$2)-1)))))</f>
        <v/>
      </c>
      <c r="N34" s="8" t="str">
        <f>TRIM(CLEAN(IF(ISERROR(FIND(N$2,Mail!$A32)),"",MID(Mail!$A32,FIND(N$2,Mail!$A32)+LEN(N$2)+1,IF(ISERROR(FIND("■",Mail!$A32,FIND(N$2,Mail!$A32)+LEN(N$2))-FIND(N$2,Mail!$A32)-LEN(N$2)),LEN(Mail!$A32)-60-FIND(N$2,Mail!$A32)-LEN(N$2),FIND("■",Mail!$A32,FIND(N$2,Mail!$A32)+LEN(N$2))-FIND(N$2,Mail!$A32)-LEN(N$2)-1)))))</f>
        <v/>
      </c>
      <c r="O34" s="8" t="str">
        <f>TRIM(CLEAN(IF(ISERROR(FIND(O$2,Mail!$A32)),"",MID(Mail!$A32,FIND(O$2,Mail!$A32)+LEN(O$2)+1,IF(ISERROR(FIND("■",Mail!$A32,FIND(O$2,Mail!$A32)+LEN(O$2))-FIND(O$2,Mail!$A32)-LEN(O$2)),LEN(Mail!$A32)-60-FIND(O$2,Mail!$A32)-LEN(O$2),FIND("■",Mail!$A32,FIND(O$2,Mail!$A32)+LEN(O$2))-FIND(O$2,Mail!$A32)-LEN(O$2)-1)))))</f>
        <v/>
      </c>
      <c r="P34" s="8" t="str">
        <f>TRIM(CLEAN(IF(ISERROR(FIND(P$2,Mail!$A32)),"",MID(Mail!$A32,FIND(P$2,Mail!$A32)+LEN(P$2)+1,IF(ISERROR(FIND("■",Mail!$A32,FIND(P$2,Mail!$A32)+LEN(P$2))-FIND(P$2,Mail!$A32)-LEN(P$2)),LEN(Mail!$A32)-60-FIND(P$2,Mail!$A32)-LEN(P$2),FIND("■",Mail!$A32,FIND(P$2,Mail!$A32)+LEN(P$2))-FIND(P$2,Mail!$A32)-LEN(P$2)-1)))))</f>
        <v/>
      </c>
      <c r="Q34" s="8" t="str">
        <f>TRIM(CLEAN(IF(ISERROR(FIND(Q$2,Mail!$A32)),"",MID(Mail!$A32,FIND(Q$2,Mail!$A32)+LEN(Q$2)+1,IF(ISERROR(FIND("■",Mail!$A32,FIND(Q$2,Mail!$A32)+LEN(Q$2))-FIND(Q$2,Mail!$A32)-LEN(Q$2)),LEN(Mail!$A32)-60-FIND(Q$2,Mail!$A32)-LEN(Q$2),FIND("■",Mail!$A32,FIND(Q$2,Mail!$A32)+LEN(Q$2))-FIND(Q$2,Mail!$A32)-LEN(Q$2)-1)))))</f>
        <v/>
      </c>
      <c r="R34" s="8" t="str">
        <f>TRIM(CLEAN(IF(ISERROR(FIND(R$2,Mail!$A32)),"",MID(Mail!$A32,FIND(R$2,Mail!$A32)+LEN(R$2)+1,IF(ISERROR(FIND("■",Mail!$A32,FIND(R$2,Mail!$A32)+LEN(R$2))-FIND(R$2,Mail!$A32)-LEN(R$2)),LEN(Mail!$A32)-60-FIND(R$2,Mail!$A32)-LEN(R$2),FIND("■",Mail!$A32,FIND(R$2,Mail!$A32)+LEN(R$2))-FIND(R$2,Mail!$A32)-LEN(R$2)-1)))))</f>
        <v/>
      </c>
      <c r="S34" s="8" t="str">
        <f>TRIM(CLEAN(IF(ISERROR(FIND(S$2,Mail!$A32)),"",MID(Mail!$A32,FIND(S$2,Mail!$A32)+LEN(S$2)+1,IF(ISERROR(FIND("■",Mail!$A32,FIND(S$2,Mail!$A32)+LEN(S$2))-FIND(S$2,Mail!$A32)-LEN(S$2)),LEN(Mail!$A32)-60-FIND(S$2,Mail!$A32)-LEN(S$2),FIND("■",Mail!$A32,FIND(S$2,Mail!$A32)+LEN(S$2))-FIND(S$2,Mail!$A32)-LEN(S$2)-1)))))</f>
        <v/>
      </c>
      <c r="T34" s="8" t="str">
        <f>TRIM(CLEAN(IF(ISERROR(FIND(T$2,Mail!$A32)),"",MID(Mail!$A32,FIND(T$2,Mail!$A32)+LEN(T$2)+1,IF(ISERROR(FIND("■",Mail!$A32,FIND(T$2,Mail!$A32)+LEN(T$2))-FIND(T$2,Mail!$A32)-LEN(T$2)),LEN(Mail!$A32)-60-FIND(T$2,Mail!$A32)-LEN(T$2),FIND("■",Mail!$A32,FIND(T$2,Mail!$A32)+LEN(T$2))-FIND(T$2,Mail!$A32)-LEN(T$2)-1)))))</f>
        <v/>
      </c>
      <c r="U34" s="8" t="str">
        <f>TRIM(CLEAN(IF(ISERROR(FIND(U$2,Mail!$A32)),"",MID(Mail!$A32,FIND(U$2,Mail!$A32)+LEN(U$2)+1,IF(ISERROR(FIND("■",Mail!$A32,FIND(U$2,Mail!$A32)+LEN(U$2))-FIND(U$2,Mail!$A32)-LEN(U$2)),LEN(Mail!$A32)-60-FIND(U$2,Mail!$A32)-LEN(U$2),FIND("■",Mail!$A32,FIND(U$2,Mail!$A32)+LEN(U$2))-FIND(U$2,Mail!$A32)-LEN(U$2)-1)))))</f>
        <v/>
      </c>
      <c r="V34" s="8" t="str">
        <f>TRIM(CLEAN(IF(ISERROR(FIND(V$2,Mail!$A32)),"",MID(Mail!$A32,FIND(V$2,Mail!$A32)+LEN(V$2)+1,IF(ISERROR(FIND("■",Mail!$A32,FIND(V$2,Mail!$A32)+LEN(V$2))-FIND(V$2,Mail!$A32)-LEN(V$2)),LEN(Mail!$A32)-60-FIND(V$2,Mail!$A32)-LEN(V$2),FIND("■",Mail!$A32,FIND(V$2,Mail!$A32)+LEN(V$2))-FIND(V$2,Mail!$A32)-LEN(V$2)-1)))))</f>
        <v/>
      </c>
      <c r="W34" s="8" t="str">
        <f>TRIM(CLEAN(IF(ISERROR(FIND(W$2,Mail!$A32)),"",MID(Mail!$A32,FIND(W$2,Mail!$A32)+LEN(W$2)+1,IF(ISERROR(FIND("■",Mail!$A32,FIND(W$2,Mail!$A32)+LEN(W$2))-FIND(W$2,Mail!$A32)-LEN(W$2)),LEN(Mail!$A32)-60-FIND(W$2,Mail!$A32)-LEN(W$2),FIND("■",Mail!$A32,FIND(W$2,Mail!$A32)+LEN(W$2))-FIND(W$2,Mail!$A32)-LEN(W$2)-1)))))</f>
        <v/>
      </c>
      <c r="X34" s="8" t="str">
        <f>TRIM(IF(ISERROR(FIND(X$2,Mail!$A32)),"",MID(Mail!$A32,FIND(X$2,Mail!$A32)+LEN(X$2)+1,IF(ISERROR(FIND("■",Mail!$A32,FIND(X$2,Mail!$A32)+LEN(X$2))-FIND(X$2,Mail!$A32)-LEN(X$2)),LEN(Mail!$A32)-60-FIND(X$2,Mail!$A32)-LEN(X$2),FIND("■",Mail!$A32,FIND(X$2,Mail!$A32)+LEN(X$2))-FIND(X$2,Mail!$A32)-LEN(X$2)-1))))</f>
        <v/>
      </c>
      <c r="Y34" s="8" t="str">
        <f>TRIM(CLEAN(IF(ISERROR(FIND(Y$2,Mail!$A32)),"",MID(Mail!$A32,FIND(Y$2,Mail!$A32)+LEN(Y$2)+1,IF(ISERROR(FIND("■",Mail!$A32,FIND(Y$2,Mail!$A32)+LEN(Y$2))-FIND(Y$2,Mail!$A32)-LEN(Y$2)),LEN(Mail!$A32)-60-FIND(Y$2,Mail!$A32)-LEN(Y$2),FIND("■",Mail!$A32,FIND(Y$2,Mail!$A32)+LEN(Y$2))-FIND(Y$2,Mail!$A32)-LEN(Y$2)-1)))))</f>
        <v/>
      </c>
      <c r="Z34" s="8" t="str">
        <f>TRIM(CLEAN(IF(ISERROR(FIND(Z$2,Mail!$A32)),"",MID(Mail!$A32,FIND(Z$2,Mail!$A32)+LEN(Z$2)+1,IF(ISERROR(FIND("■",Mail!$A32,FIND(Z$2,Mail!$A32)+LEN(Z$2))-FIND(Z$2,Mail!$A32)-LEN(Z$2)),LEN(Mail!$A32)-60-FIND(Z$2,Mail!$A32)-LEN(Z$2),FIND("■",Mail!$A32,FIND(Z$2,Mail!$A32)+LEN(Z$2))-FIND(Z$2,Mail!$A32)-LEN(Z$2)-1)))))</f>
        <v/>
      </c>
      <c r="AA34" s="8" t="str">
        <f>TRIM(CLEAN(IF(ISERROR(FIND(AA$2,Mail!$A32)),"",MID(Mail!$A32,FIND(AA$2,Mail!$A32)+LEN(AA$2)+1,IF(ISERROR(FIND("■",Mail!$A32,FIND(AA$2,Mail!$A32)+LEN(AA$2))-FIND(AA$2,Mail!$A32)-LEN(AA$2)),LEN(Mail!$A32)-60-FIND(AA$2,Mail!$A32)-LEN(AA$2),FIND("■",Mail!$A32,FIND(AA$2,Mail!$A32)+LEN(AA$2))-FIND(AA$2,Mail!$A32)-LEN(AA$2)-1)))))</f>
        <v/>
      </c>
      <c r="AB34" s="8" t="str">
        <f>TRIM(CLEAN(IF(ISERROR(FIND(AB$2,Mail!$A32)),"",MID(Mail!$A32,FIND(AB$2,Mail!$A32)+LEN(AB$2)+1,IF(ISERROR(FIND("■",Mail!$A32,FIND(AB$2,Mail!$A32)+LEN(AB$2))-FIND(AB$2,Mail!$A32)-LEN(AB$2)),LEN(Mail!$A32)-60-FIND(AB$2,Mail!$A32)-LEN(AB$2),FIND("■",Mail!$A32,FIND(AB$2,Mail!$A32)+LEN(AB$2))-FIND(AB$2,Mail!$A32)-LEN(AB$2)-1)))))</f>
        <v/>
      </c>
      <c r="AC34" s="8" t="str">
        <f>TRIM(CLEAN(IF(ISERROR(FIND(AC$2,Mail!$A32)),"",MID(Mail!$A32,FIND(AC$2,Mail!$A32)+LEN(AC$2)+1,IF(ISERROR(FIND("■",Mail!$A32,FIND(AC$2,Mail!$A32)+LEN(AC$2))-FIND(AC$2,Mail!$A32)-LEN(AC$2)),LEN(Mail!$A32)-60-FIND(AC$2,Mail!$A32)-LEN(AC$2),FIND("■",Mail!$A32,FIND(AC$2,Mail!$A32)+LEN(AC$2))-FIND(AC$2,Mail!$A32)-LEN(AC$2)-1)))))</f>
        <v/>
      </c>
      <c r="AD34" s="8" t="str">
        <f>TRIM(CLEAN(IF(ISERROR(FIND(AD$2,Mail!$A32)),"",MID(Mail!$A32,FIND(AD$2,Mail!$A32)+LEN(AD$2)+1,IF(ISERROR(FIND("■",Mail!$A32,FIND(AD$2,Mail!$A32)+LEN(AD$2))-FIND(AD$2,Mail!$A32)-LEN(AD$2)),LEN(Mail!$A32)-60-FIND(AD$2,Mail!$A32)-LEN(AD$2),FIND("■",Mail!$A32,FIND(AD$2,Mail!$A32)+LEN(AD$2))-FIND(AD$2,Mail!$A32)-LEN(AD$2)-1)))))</f>
        <v/>
      </c>
      <c r="AE34" s="8" t="str">
        <f>TRIM(CLEAN(IF(ISERROR(FIND(AE$2,Mail!$A32)),"",MID(Mail!$A32,FIND(AE$2,Mail!$A32)+LEN(AE$2)+1,IF(ISERROR(FIND("■",Mail!$A32,FIND(AE$2,Mail!$A32)+LEN(AE$2))-FIND(AE$2,Mail!$A32)-LEN(AE$2)),LEN(Mail!$A32)-60-FIND(AE$2,Mail!$A32)-LEN(AE$2),FIND("■",Mail!$A32,FIND(AE$2,Mail!$A32)+LEN(AE$2))-FIND(AE$2,Mail!$A32)-LEN(AE$2)-1)))))</f>
        <v/>
      </c>
      <c r="AF34" s="8" t="str">
        <f>TRIM(CLEAN(IF(ISERROR(FIND(AF$2,Mail!$A32)),"",MID(Mail!$A32,FIND(AF$2,Mail!$A32)+LEN(AF$2)+1,IF(ISERROR(FIND("■",Mail!$A32,FIND(AF$2,Mail!$A32)+LEN(AF$2))-FIND(AF$2,Mail!$A32)-LEN(AF$2)),LEN(Mail!$A32)-60-FIND(AF$2,Mail!$A32)-LEN(AF$2),FIND("■",Mail!$A32,FIND(AF$2,Mail!$A32)+LEN(AF$2))-FIND(AF$2,Mail!$A32)-LEN(AF$2)-1)))))</f>
        <v/>
      </c>
      <c r="AG34" s="8" t="str">
        <f>TRIM(IF(ISERROR(FIND(AG$2,Mail!$A32)),"",MID(Mail!$A32,FIND(AG$2,Mail!$A32)+LEN(AG$2)+1,IF(ISERROR(FIND("■",Mail!$A32,FIND(AG$2,Mail!$A32)+LEN(AG$2))-FIND(AG$2,Mail!$A32)-LEN(AG$2)),LEN(Mail!$A32)-60-FIND(AG$2,Mail!$A32)-LEN(AG$2),FIND("■",Mail!$A32,FIND(AG$2,Mail!$A32)+LEN(AG$2))-FIND(AG$2,Mail!$A32)-LEN(AG$2)-1))))</f>
        <v/>
      </c>
      <c r="AH34" s="8" t="str">
        <f>TRIM(IF(ISERROR(FIND(AH$2,Mail!$A32)),"",MID(Mail!$A32,FIND(AH$2,Mail!$A32)+LEN(AH$2)+1,IF(ISERROR(FIND("■",Mail!$A32,FIND(AH$2,Mail!$A32)+LEN(AH$2))-FIND(AH$2,Mail!$A32)-LEN(AH$2)),LEN(Mail!$A32)-60-FIND(AH$2,Mail!$A32)-LEN(AH$2),FIND("■",Mail!$A32,FIND(AH$2,Mail!$A32)+LEN(AH$2))-FIND(AH$2,Mail!$A32)-LEN(AH$2)-1))))</f>
        <v/>
      </c>
      <c r="AI34" s="8" t="str">
        <f>TRIM(IF(ISERROR(FIND(AI$2,Mail!$A32)),"",MID(Mail!$A32,FIND(AI$2,Mail!$A32)+LEN(AI$2)+1,IF(ISERROR(FIND("■",Mail!$A32,FIND(AI$2,Mail!$A32)+LEN(AI$2))-FIND(AI$2,Mail!$A32)-LEN(AI$2)),LEN(Mail!$A32)-60-FIND(AI$2,Mail!$A32)-LEN(AI$2),FIND("■",Mail!$A32,FIND(AI$2,Mail!$A32)+LEN(AI$2))-FIND(AI$2,Mail!$A32)-LEN(AI$2)-1))))</f>
        <v/>
      </c>
    </row>
    <row r="35" spans="1:35" s="8" customFormat="1" x14ac:dyDescent="0.15">
      <c r="A35" s="9" t="str">
        <f t="shared" si="1"/>
        <v/>
      </c>
      <c r="B35" s="8" t="str">
        <f>CLEAN(SUBSTITUTE(IF(ISERROR(FIND("yokohama",Mail!$A33)),"",MID(Mail!$A33,FIND("yokohama",Mail!$A33)+LEN("yokohama")+1,FIND("件目",Mail!$A33,FIND("yokohama",Mail!$A33))-(FIND("yokohama",Mail!$A33)+LEN("yokohama")+1)))," ",""))</f>
        <v/>
      </c>
      <c r="C35" s="9" t="str">
        <f t="shared" si="0"/>
        <v/>
      </c>
      <c r="D35" s="9" t="str">
        <f t="shared" si="2"/>
        <v/>
      </c>
      <c r="E35" s="8" t="str">
        <f t="shared" si="3"/>
        <v/>
      </c>
      <c r="F35" s="8" t="str">
        <f>TRIM(CLEAN(IF(ISERROR(FIND(F$2,Mail!$A33)),"",MID(Mail!$A33,FIND(F$2,Mail!$A33)+LEN(F$2)+1,IF(ISERROR(FIND("■",Mail!$A33,FIND(F$2,Mail!$A33)+LEN(F$2))-FIND(F$2,Mail!$A33)-LEN(F$2)),LEN(Mail!$A33)-60-FIND(F$2,Mail!$A33)-LEN(F$2),FIND("■",Mail!$A33,FIND(F$2,Mail!$A33)+LEN(F$2))-FIND(F$2,Mail!$A33)-LEN(F$2)-1)))))</f>
        <v/>
      </c>
      <c r="G35" s="8" t="str">
        <f>TRIM(CLEAN(IF(ISERROR(FIND(G$2,Mail!$A33)),"",MID(Mail!$A33,FIND(G$2,Mail!$A33)+LEN(G$2)+1,IF(ISERROR(FIND("■",Mail!$A33,FIND(G$2,Mail!$A33)+LEN(G$2))-FIND(G$2,Mail!$A33)-LEN(G$2)),LEN(Mail!$A33)-60-FIND(G$2,Mail!$A33)-LEN(G$2),FIND("■",Mail!$A33,FIND(G$2,Mail!$A33)+LEN(G$2))-FIND(G$2,Mail!$A33)-LEN(G$2)-1)))))</f>
        <v/>
      </c>
      <c r="H35" s="8" t="str">
        <f>TRIM(CLEAN(IF(ISERROR(FIND(H$2,Mail!$A33)),"",MID(Mail!$A33,FIND(H$2,Mail!$A33)+LEN(H$2)+1,IF(ISERROR(FIND("■",Mail!$A33,FIND(H$2,Mail!$A33)+LEN(H$2))-FIND(H$2,Mail!$A33)-LEN(H$2)),LEN(Mail!$A33)-60-FIND(H$2,Mail!$A33)-LEN(H$2),FIND("■",Mail!$A33,FIND(H$2,Mail!$A33)+LEN(H$2))-FIND(H$2,Mail!$A33)-LEN(H$2)-1)))))</f>
        <v/>
      </c>
      <c r="I35" s="8" t="str">
        <f>TRIM(CLEAN(IF(ISERROR(FIND(I$2,Mail!$A33)),"",MID(Mail!$A33,FIND(I$2,Mail!$A33)+LEN(I$2)+1,IF(ISERROR(FIND("■",Mail!$A33,FIND(I$2,Mail!$A33)+LEN(I$2))-FIND(I$2,Mail!$A33)-LEN(I$2)),LEN(Mail!$A33)-60-FIND(I$2,Mail!$A33)-LEN(I$2),FIND("■",Mail!$A33,FIND(I$2,Mail!$A33)+LEN(I$2))-FIND(I$2,Mail!$A33)-LEN(I$2)-1)))))</f>
        <v/>
      </c>
      <c r="J35" s="8" t="str">
        <f>TRIM(IF(ISERROR(FIND(J$2,Mail!$A33)),"",MID(Mail!$A33,FIND(J$2,Mail!$A33)+LEN(J$2)+1,IF(ISERROR(FIND("■",Mail!$A33,FIND(J$2,Mail!$A33)+LEN(J$2))-FIND(J$2,Mail!$A33)-LEN(J$2)),LEN(Mail!$A33)-60-FIND(J$2,Mail!$A33)-LEN(J$2),FIND("■",Mail!$A33,FIND(J$2,Mail!$A33)+LEN(J$2))-FIND(J$2,Mail!$A33)-LEN(J$2)-1))))</f>
        <v/>
      </c>
      <c r="K35" s="8" t="str">
        <f>TRIM(IF(ISERROR(FIND(K$2,Mail!$A33)),"",MID(Mail!$A33,FIND(K$2,Mail!$A33)+LEN(K$2)+1,IF(ISERROR(FIND("■",Mail!$A33,FIND(K$2,Mail!$A33)+LEN(K$2))-FIND(K$2,Mail!$A33)-LEN(K$2)),LEN(Mail!$A33)-60-FIND(K$2,Mail!$A33)-LEN(K$2),FIND("■",Mail!$A33,FIND(K$2,Mail!$A33)+LEN(K$2))-FIND(K$2,Mail!$A33)-LEN(K$2)-1))))</f>
        <v/>
      </c>
      <c r="L35" s="8" t="str">
        <f>TRIM(IF(ISERROR(FIND(L$2,Mail!$A33)),"",MID(Mail!$A33,FIND(L$2,Mail!$A33)+LEN(L$2)+1,IF(ISERROR(FIND("■",Mail!$A33,FIND(L$2,Mail!$A33)+LEN(L$2))-FIND(L$2,Mail!$A33)-LEN(L$2)),LEN(Mail!$A33)-60-FIND(L$2,Mail!$A33)-LEN(L$2),FIND("■",Mail!$A33,FIND(L$2,Mail!$A33)+LEN(L$2))-FIND(L$2,Mail!$A33)-LEN(L$2)-1))))</f>
        <v/>
      </c>
      <c r="M35" s="8" t="str">
        <f>TRIM(CLEAN(IF(ISERROR(FIND(M$2,Mail!$A33)),"",MID(Mail!$A33,FIND(M$2,Mail!$A33)+LEN(M$2)+1,IF(ISERROR(FIND("■",Mail!$A33,FIND(M$2,Mail!$A33)+LEN(M$2))-FIND(M$2,Mail!$A33)-LEN(M$2)),LEN(Mail!$A33)-60-FIND(M$2,Mail!$A33)-LEN(M$2),FIND("■",Mail!$A33,FIND(M$2,Mail!$A33)+LEN(M$2))-FIND(M$2,Mail!$A33)-LEN(M$2)-1)))))</f>
        <v/>
      </c>
      <c r="N35" s="8" t="str">
        <f>TRIM(CLEAN(IF(ISERROR(FIND(N$2,Mail!$A33)),"",MID(Mail!$A33,FIND(N$2,Mail!$A33)+LEN(N$2)+1,IF(ISERROR(FIND("■",Mail!$A33,FIND(N$2,Mail!$A33)+LEN(N$2))-FIND(N$2,Mail!$A33)-LEN(N$2)),LEN(Mail!$A33)-60-FIND(N$2,Mail!$A33)-LEN(N$2),FIND("■",Mail!$A33,FIND(N$2,Mail!$A33)+LEN(N$2))-FIND(N$2,Mail!$A33)-LEN(N$2)-1)))))</f>
        <v/>
      </c>
      <c r="O35" s="8" t="str">
        <f>TRIM(CLEAN(IF(ISERROR(FIND(O$2,Mail!$A33)),"",MID(Mail!$A33,FIND(O$2,Mail!$A33)+LEN(O$2)+1,IF(ISERROR(FIND("■",Mail!$A33,FIND(O$2,Mail!$A33)+LEN(O$2))-FIND(O$2,Mail!$A33)-LEN(O$2)),LEN(Mail!$A33)-60-FIND(O$2,Mail!$A33)-LEN(O$2),FIND("■",Mail!$A33,FIND(O$2,Mail!$A33)+LEN(O$2))-FIND(O$2,Mail!$A33)-LEN(O$2)-1)))))</f>
        <v/>
      </c>
      <c r="P35" s="8" t="str">
        <f>TRIM(CLEAN(IF(ISERROR(FIND(P$2,Mail!$A33)),"",MID(Mail!$A33,FIND(P$2,Mail!$A33)+LEN(P$2)+1,IF(ISERROR(FIND("■",Mail!$A33,FIND(P$2,Mail!$A33)+LEN(P$2))-FIND(P$2,Mail!$A33)-LEN(P$2)),LEN(Mail!$A33)-60-FIND(P$2,Mail!$A33)-LEN(P$2),FIND("■",Mail!$A33,FIND(P$2,Mail!$A33)+LEN(P$2))-FIND(P$2,Mail!$A33)-LEN(P$2)-1)))))</f>
        <v/>
      </c>
      <c r="Q35" s="8" t="str">
        <f>TRIM(CLEAN(IF(ISERROR(FIND(Q$2,Mail!$A33)),"",MID(Mail!$A33,FIND(Q$2,Mail!$A33)+LEN(Q$2)+1,IF(ISERROR(FIND("■",Mail!$A33,FIND(Q$2,Mail!$A33)+LEN(Q$2))-FIND(Q$2,Mail!$A33)-LEN(Q$2)),LEN(Mail!$A33)-60-FIND(Q$2,Mail!$A33)-LEN(Q$2),FIND("■",Mail!$A33,FIND(Q$2,Mail!$A33)+LEN(Q$2))-FIND(Q$2,Mail!$A33)-LEN(Q$2)-1)))))</f>
        <v/>
      </c>
      <c r="R35" s="8" t="str">
        <f>TRIM(CLEAN(IF(ISERROR(FIND(R$2,Mail!$A33)),"",MID(Mail!$A33,FIND(R$2,Mail!$A33)+LEN(R$2)+1,IF(ISERROR(FIND("■",Mail!$A33,FIND(R$2,Mail!$A33)+LEN(R$2))-FIND(R$2,Mail!$A33)-LEN(R$2)),LEN(Mail!$A33)-60-FIND(R$2,Mail!$A33)-LEN(R$2),FIND("■",Mail!$A33,FIND(R$2,Mail!$A33)+LEN(R$2))-FIND(R$2,Mail!$A33)-LEN(R$2)-1)))))</f>
        <v/>
      </c>
      <c r="S35" s="8" t="str">
        <f>TRIM(CLEAN(IF(ISERROR(FIND(S$2,Mail!$A33)),"",MID(Mail!$A33,FIND(S$2,Mail!$A33)+LEN(S$2)+1,IF(ISERROR(FIND("■",Mail!$A33,FIND(S$2,Mail!$A33)+LEN(S$2))-FIND(S$2,Mail!$A33)-LEN(S$2)),LEN(Mail!$A33)-60-FIND(S$2,Mail!$A33)-LEN(S$2),FIND("■",Mail!$A33,FIND(S$2,Mail!$A33)+LEN(S$2))-FIND(S$2,Mail!$A33)-LEN(S$2)-1)))))</f>
        <v/>
      </c>
      <c r="T35" s="8" t="str">
        <f>TRIM(CLEAN(IF(ISERROR(FIND(T$2,Mail!$A33)),"",MID(Mail!$A33,FIND(T$2,Mail!$A33)+LEN(T$2)+1,IF(ISERROR(FIND("■",Mail!$A33,FIND(T$2,Mail!$A33)+LEN(T$2))-FIND(T$2,Mail!$A33)-LEN(T$2)),LEN(Mail!$A33)-60-FIND(T$2,Mail!$A33)-LEN(T$2),FIND("■",Mail!$A33,FIND(T$2,Mail!$A33)+LEN(T$2))-FIND(T$2,Mail!$A33)-LEN(T$2)-1)))))</f>
        <v/>
      </c>
      <c r="U35" s="8" t="str">
        <f>TRIM(CLEAN(IF(ISERROR(FIND(U$2,Mail!$A33)),"",MID(Mail!$A33,FIND(U$2,Mail!$A33)+LEN(U$2)+1,IF(ISERROR(FIND("■",Mail!$A33,FIND(U$2,Mail!$A33)+LEN(U$2))-FIND(U$2,Mail!$A33)-LEN(U$2)),LEN(Mail!$A33)-60-FIND(U$2,Mail!$A33)-LEN(U$2),FIND("■",Mail!$A33,FIND(U$2,Mail!$A33)+LEN(U$2))-FIND(U$2,Mail!$A33)-LEN(U$2)-1)))))</f>
        <v/>
      </c>
      <c r="V35" s="8" t="str">
        <f>TRIM(CLEAN(IF(ISERROR(FIND(V$2,Mail!$A33)),"",MID(Mail!$A33,FIND(V$2,Mail!$A33)+LEN(V$2)+1,IF(ISERROR(FIND("■",Mail!$A33,FIND(V$2,Mail!$A33)+LEN(V$2))-FIND(V$2,Mail!$A33)-LEN(V$2)),LEN(Mail!$A33)-60-FIND(V$2,Mail!$A33)-LEN(V$2),FIND("■",Mail!$A33,FIND(V$2,Mail!$A33)+LEN(V$2))-FIND(V$2,Mail!$A33)-LEN(V$2)-1)))))</f>
        <v/>
      </c>
      <c r="W35" s="8" t="str">
        <f>TRIM(CLEAN(IF(ISERROR(FIND(W$2,Mail!$A33)),"",MID(Mail!$A33,FIND(W$2,Mail!$A33)+LEN(W$2)+1,IF(ISERROR(FIND("■",Mail!$A33,FIND(W$2,Mail!$A33)+LEN(W$2))-FIND(W$2,Mail!$A33)-LEN(W$2)),LEN(Mail!$A33)-60-FIND(W$2,Mail!$A33)-LEN(W$2),FIND("■",Mail!$A33,FIND(W$2,Mail!$A33)+LEN(W$2))-FIND(W$2,Mail!$A33)-LEN(W$2)-1)))))</f>
        <v/>
      </c>
      <c r="X35" s="8" t="str">
        <f>TRIM(IF(ISERROR(FIND(X$2,Mail!$A33)),"",MID(Mail!$A33,FIND(X$2,Mail!$A33)+LEN(X$2)+1,IF(ISERROR(FIND("■",Mail!$A33,FIND(X$2,Mail!$A33)+LEN(X$2))-FIND(X$2,Mail!$A33)-LEN(X$2)),LEN(Mail!$A33)-60-FIND(X$2,Mail!$A33)-LEN(X$2),FIND("■",Mail!$A33,FIND(X$2,Mail!$A33)+LEN(X$2))-FIND(X$2,Mail!$A33)-LEN(X$2)-1))))</f>
        <v/>
      </c>
      <c r="Y35" s="8" t="str">
        <f>TRIM(CLEAN(IF(ISERROR(FIND(Y$2,Mail!$A33)),"",MID(Mail!$A33,FIND(Y$2,Mail!$A33)+LEN(Y$2)+1,IF(ISERROR(FIND("■",Mail!$A33,FIND(Y$2,Mail!$A33)+LEN(Y$2))-FIND(Y$2,Mail!$A33)-LEN(Y$2)),LEN(Mail!$A33)-60-FIND(Y$2,Mail!$A33)-LEN(Y$2),FIND("■",Mail!$A33,FIND(Y$2,Mail!$A33)+LEN(Y$2))-FIND(Y$2,Mail!$A33)-LEN(Y$2)-1)))))</f>
        <v/>
      </c>
      <c r="Z35" s="8" t="str">
        <f>TRIM(CLEAN(IF(ISERROR(FIND(Z$2,Mail!$A33)),"",MID(Mail!$A33,FIND(Z$2,Mail!$A33)+LEN(Z$2)+1,IF(ISERROR(FIND("■",Mail!$A33,FIND(Z$2,Mail!$A33)+LEN(Z$2))-FIND(Z$2,Mail!$A33)-LEN(Z$2)),LEN(Mail!$A33)-60-FIND(Z$2,Mail!$A33)-LEN(Z$2),FIND("■",Mail!$A33,FIND(Z$2,Mail!$A33)+LEN(Z$2))-FIND(Z$2,Mail!$A33)-LEN(Z$2)-1)))))</f>
        <v/>
      </c>
      <c r="AA35" s="8" t="str">
        <f>TRIM(CLEAN(IF(ISERROR(FIND(AA$2,Mail!$A33)),"",MID(Mail!$A33,FIND(AA$2,Mail!$A33)+LEN(AA$2)+1,IF(ISERROR(FIND("■",Mail!$A33,FIND(AA$2,Mail!$A33)+LEN(AA$2))-FIND(AA$2,Mail!$A33)-LEN(AA$2)),LEN(Mail!$A33)-60-FIND(AA$2,Mail!$A33)-LEN(AA$2),FIND("■",Mail!$A33,FIND(AA$2,Mail!$A33)+LEN(AA$2))-FIND(AA$2,Mail!$A33)-LEN(AA$2)-1)))))</f>
        <v/>
      </c>
      <c r="AB35" s="8" t="str">
        <f>TRIM(CLEAN(IF(ISERROR(FIND(AB$2,Mail!$A33)),"",MID(Mail!$A33,FIND(AB$2,Mail!$A33)+LEN(AB$2)+1,IF(ISERROR(FIND("■",Mail!$A33,FIND(AB$2,Mail!$A33)+LEN(AB$2))-FIND(AB$2,Mail!$A33)-LEN(AB$2)),LEN(Mail!$A33)-60-FIND(AB$2,Mail!$A33)-LEN(AB$2),FIND("■",Mail!$A33,FIND(AB$2,Mail!$A33)+LEN(AB$2))-FIND(AB$2,Mail!$A33)-LEN(AB$2)-1)))))</f>
        <v/>
      </c>
      <c r="AC35" s="8" t="str">
        <f>TRIM(CLEAN(IF(ISERROR(FIND(AC$2,Mail!$A33)),"",MID(Mail!$A33,FIND(AC$2,Mail!$A33)+LEN(AC$2)+1,IF(ISERROR(FIND("■",Mail!$A33,FIND(AC$2,Mail!$A33)+LEN(AC$2))-FIND(AC$2,Mail!$A33)-LEN(AC$2)),LEN(Mail!$A33)-60-FIND(AC$2,Mail!$A33)-LEN(AC$2),FIND("■",Mail!$A33,FIND(AC$2,Mail!$A33)+LEN(AC$2))-FIND(AC$2,Mail!$A33)-LEN(AC$2)-1)))))</f>
        <v/>
      </c>
      <c r="AD35" s="8" t="str">
        <f>TRIM(CLEAN(IF(ISERROR(FIND(AD$2,Mail!$A33)),"",MID(Mail!$A33,FIND(AD$2,Mail!$A33)+LEN(AD$2)+1,IF(ISERROR(FIND("■",Mail!$A33,FIND(AD$2,Mail!$A33)+LEN(AD$2))-FIND(AD$2,Mail!$A33)-LEN(AD$2)),LEN(Mail!$A33)-60-FIND(AD$2,Mail!$A33)-LEN(AD$2),FIND("■",Mail!$A33,FIND(AD$2,Mail!$A33)+LEN(AD$2))-FIND(AD$2,Mail!$A33)-LEN(AD$2)-1)))))</f>
        <v/>
      </c>
      <c r="AE35" s="8" t="str">
        <f>TRIM(CLEAN(IF(ISERROR(FIND(AE$2,Mail!$A33)),"",MID(Mail!$A33,FIND(AE$2,Mail!$A33)+LEN(AE$2)+1,IF(ISERROR(FIND("■",Mail!$A33,FIND(AE$2,Mail!$A33)+LEN(AE$2))-FIND(AE$2,Mail!$A33)-LEN(AE$2)),LEN(Mail!$A33)-60-FIND(AE$2,Mail!$A33)-LEN(AE$2),FIND("■",Mail!$A33,FIND(AE$2,Mail!$A33)+LEN(AE$2))-FIND(AE$2,Mail!$A33)-LEN(AE$2)-1)))))</f>
        <v/>
      </c>
      <c r="AF35" s="8" t="str">
        <f>TRIM(CLEAN(IF(ISERROR(FIND(AF$2,Mail!$A33)),"",MID(Mail!$A33,FIND(AF$2,Mail!$A33)+LEN(AF$2)+1,IF(ISERROR(FIND("■",Mail!$A33,FIND(AF$2,Mail!$A33)+LEN(AF$2))-FIND(AF$2,Mail!$A33)-LEN(AF$2)),LEN(Mail!$A33)-60-FIND(AF$2,Mail!$A33)-LEN(AF$2),FIND("■",Mail!$A33,FIND(AF$2,Mail!$A33)+LEN(AF$2))-FIND(AF$2,Mail!$A33)-LEN(AF$2)-1)))))</f>
        <v/>
      </c>
      <c r="AG35" s="8" t="str">
        <f>TRIM(IF(ISERROR(FIND(AG$2,Mail!$A33)),"",MID(Mail!$A33,FIND(AG$2,Mail!$A33)+LEN(AG$2)+1,IF(ISERROR(FIND("■",Mail!$A33,FIND(AG$2,Mail!$A33)+LEN(AG$2))-FIND(AG$2,Mail!$A33)-LEN(AG$2)),LEN(Mail!$A33)-60-FIND(AG$2,Mail!$A33)-LEN(AG$2),FIND("■",Mail!$A33,FIND(AG$2,Mail!$A33)+LEN(AG$2))-FIND(AG$2,Mail!$A33)-LEN(AG$2)-1))))</f>
        <v/>
      </c>
      <c r="AH35" s="8" t="str">
        <f>TRIM(IF(ISERROR(FIND(AH$2,Mail!$A33)),"",MID(Mail!$A33,FIND(AH$2,Mail!$A33)+LEN(AH$2)+1,IF(ISERROR(FIND("■",Mail!$A33,FIND(AH$2,Mail!$A33)+LEN(AH$2))-FIND(AH$2,Mail!$A33)-LEN(AH$2)),LEN(Mail!$A33)-60-FIND(AH$2,Mail!$A33)-LEN(AH$2),FIND("■",Mail!$A33,FIND(AH$2,Mail!$A33)+LEN(AH$2))-FIND(AH$2,Mail!$A33)-LEN(AH$2)-1))))</f>
        <v/>
      </c>
      <c r="AI35" s="8" t="str">
        <f>TRIM(IF(ISERROR(FIND(AI$2,Mail!$A33)),"",MID(Mail!$A33,FIND(AI$2,Mail!$A33)+LEN(AI$2)+1,IF(ISERROR(FIND("■",Mail!$A33,FIND(AI$2,Mail!$A33)+LEN(AI$2))-FIND(AI$2,Mail!$A33)-LEN(AI$2)),LEN(Mail!$A33)-60-FIND(AI$2,Mail!$A33)-LEN(AI$2),FIND("■",Mail!$A33,FIND(AI$2,Mail!$A33)+LEN(AI$2))-FIND(AI$2,Mail!$A33)-LEN(AI$2)-1))))</f>
        <v/>
      </c>
    </row>
    <row r="36" spans="1:35" s="8" customFormat="1" x14ac:dyDescent="0.15">
      <c r="A36" s="9" t="str">
        <f t="shared" si="1"/>
        <v/>
      </c>
      <c r="B36" s="8" t="str">
        <f>CLEAN(SUBSTITUTE(IF(ISERROR(FIND("yokohama",Mail!$A34)),"",MID(Mail!$A34,FIND("yokohama",Mail!$A34)+LEN("yokohama")+1,FIND("件目",Mail!$A34,FIND("yokohama",Mail!$A34))-(FIND("yokohama",Mail!$A34)+LEN("yokohama")+1)))," ",""))</f>
        <v/>
      </c>
      <c r="C36" s="9" t="str">
        <f t="shared" ref="C36:C67" si="4">IF($A36="","",IF($S36="住所と同じ",$O36,$T36))</f>
        <v/>
      </c>
      <c r="D36" s="9" t="str">
        <f t="shared" si="2"/>
        <v/>
      </c>
      <c r="E36" s="8" t="str">
        <f t="shared" si="3"/>
        <v/>
      </c>
      <c r="F36" s="8" t="str">
        <f>TRIM(CLEAN(IF(ISERROR(FIND(F$2,Mail!$A34)),"",MID(Mail!$A34,FIND(F$2,Mail!$A34)+LEN(F$2)+1,IF(ISERROR(FIND("■",Mail!$A34,FIND(F$2,Mail!$A34)+LEN(F$2))-FIND(F$2,Mail!$A34)-LEN(F$2)),LEN(Mail!$A34)-60-FIND(F$2,Mail!$A34)-LEN(F$2),FIND("■",Mail!$A34,FIND(F$2,Mail!$A34)+LEN(F$2))-FIND(F$2,Mail!$A34)-LEN(F$2)-1)))))</f>
        <v/>
      </c>
      <c r="G36" s="8" t="str">
        <f>TRIM(CLEAN(IF(ISERROR(FIND(G$2,Mail!$A34)),"",MID(Mail!$A34,FIND(G$2,Mail!$A34)+LEN(G$2)+1,IF(ISERROR(FIND("■",Mail!$A34,FIND(G$2,Mail!$A34)+LEN(G$2))-FIND(G$2,Mail!$A34)-LEN(G$2)),LEN(Mail!$A34)-60-FIND(G$2,Mail!$A34)-LEN(G$2),FIND("■",Mail!$A34,FIND(G$2,Mail!$A34)+LEN(G$2))-FIND(G$2,Mail!$A34)-LEN(G$2)-1)))))</f>
        <v/>
      </c>
      <c r="H36" s="8" t="str">
        <f>TRIM(CLEAN(IF(ISERROR(FIND(H$2,Mail!$A34)),"",MID(Mail!$A34,FIND(H$2,Mail!$A34)+LEN(H$2)+1,IF(ISERROR(FIND("■",Mail!$A34,FIND(H$2,Mail!$A34)+LEN(H$2))-FIND(H$2,Mail!$A34)-LEN(H$2)),LEN(Mail!$A34)-60-FIND(H$2,Mail!$A34)-LEN(H$2),FIND("■",Mail!$A34,FIND(H$2,Mail!$A34)+LEN(H$2))-FIND(H$2,Mail!$A34)-LEN(H$2)-1)))))</f>
        <v/>
      </c>
      <c r="I36" s="8" t="str">
        <f>TRIM(CLEAN(IF(ISERROR(FIND(I$2,Mail!$A34)),"",MID(Mail!$A34,FIND(I$2,Mail!$A34)+LEN(I$2)+1,IF(ISERROR(FIND("■",Mail!$A34,FIND(I$2,Mail!$A34)+LEN(I$2))-FIND(I$2,Mail!$A34)-LEN(I$2)),LEN(Mail!$A34)-60-FIND(I$2,Mail!$A34)-LEN(I$2),FIND("■",Mail!$A34,FIND(I$2,Mail!$A34)+LEN(I$2))-FIND(I$2,Mail!$A34)-LEN(I$2)-1)))))</f>
        <v/>
      </c>
      <c r="J36" s="8" t="str">
        <f>TRIM(IF(ISERROR(FIND(J$2,Mail!$A34)),"",MID(Mail!$A34,FIND(J$2,Mail!$A34)+LEN(J$2)+1,IF(ISERROR(FIND("■",Mail!$A34,FIND(J$2,Mail!$A34)+LEN(J$2))-FIND(J$2,Mail!$A34)-LEN(J$2)),LEN(Mail!$A34)-60-FIND(J$2,Mail!$A34)-LEN(J$2),FIND("■",Mail!$A34,FIND(J$2,Mail!$A34)+LEN(J$2))-FIND(J$2,Mail!$A34)-LEN(J$2)-1))))</f>
        <v/>
      </c>
      <c r="K36" s="8" t="str">
        <f>TRIM(IF(ISERROR(FIND(K$2,Mail!$A34)),"",MID(Mail!$A34,FIND(K$2,Mail!$A34)+LEN(K$2)+1,IF(ISERROR(FIND("■",Mail!$A34,FIND(K$2,Mail!$A34)+LEN(K$2))-FIND(K$2,Mail!$A34)-LEN(K$2)),LEN(Mail!$A34)-60-FIND(K$2,Mail!$A34)-LEN(K$2),FIND("■",Mail!$A34,FIND(K$2,Mail!$A34)+LEN(K$2))-FIND(K$2,Mail!$A34)-LEN(K$2)-1))))</f>
        <v/>
      </c>
      <c r="L36" s="8" t="str">
        <f>TRIM(IF(ISERROR(FIND(L$2,Mail!$A34)),"",MID(Mail!$A34,FIND(L$2,Mail!$A34)+LEN(L$2)+1,IF(ISERROR(FIND("■",Mail!$A34,FIND(L$2,Mail!$A34)+LEN(L$2))-FIND(L$2,Mail!$A34)-LEN(L$2)),LEN(Mail!$A34)-60-FIND(L$2,Mail!$A34)-LEN(L$2),FIND("■",Mail!$A34,FIND(L$2,Mail!$A34)+LEN(L$2))-FIND(L$2,Mail!$A34)-LEN(L$2)-1))))</f>
        <v/>
      </c>
      <c r="M36" s="8" t="str">
        <f>TRIM(CLEAN(IF(ISERROR(FIND(M$2,Mail!$A34)),"",MID(Mail!$A34,FIND(M$2,Mail!$A34)+LEN(M$2)+1,IF(ISERROR(FIND("■",Mail!$A34,FIND(M$2,Mail!$A34)+LEN(M$2))-FIND(M$2,Mail!$A34)-LEN(M$2)),LEN(Mail!$A34)-60-FIND(M$2,Mail!$A34)-LEN(M$2),FIND("■",Mail!$A34,FIND(M$2,Mail!$A34)+LEN(M$2))-FIND(M$2,Mail!$A34)-LEN(M$2)-1)))))</f>
        <v/>
      </c>
      <c r="N36" s="8" t="str">
        <f>TRIM(CLEAN(IF(ISERROR(FIND(N$2,Mail!$A34)),"",MID(Mail!$A34,FIND(N$2,Mail!$A34)+LEN(N$2)+1,IF(ISERROR(FIND("■",Mail!$A34,FIND(N$2,Mail!$A34)+LEN(N$2))-FIND(N$2,Mail!$A34)-LEN(N$2)),LEN(Mail!$A34)-60-FIND(N$2,Mail!$A34)-LEN(N$2),FIND("■",Mail!$A34,FIND(N$2,Mail!$A34)+LEN(N$2))-FIND(N$2,Mail!$A34)-LEN(N$2)-1)))))</f>
        <v/>
      </c>
      <c r="O36" s="8" t="str">
        <f>TRIM(CLEAN(IF(ISERROR(FIND(O$2,Mail!$A34)),"",MID(Mail!$A34,FIND(O$2,Mail!$A34)+LEN(O$2)+1,IF(ISERROR(FIND("■",Mail!$A34,FIND(O$2,Mail!$A34)+LEN(O$2))-FIND(O$2,Mail!$A34)-LEN(O$2)),LEN(Mail!$A34)-60-FIND(O$2,Mail!$A34)-LEN(O$2),FIND("■",Mail!$A34,FIND(O$2,Mail!$A34)+LEN(O$2))-FIND(O$2,Mail!$A34)-LEN(O$2)-1)))))</f>
        <v/>
      </c>
      <c r="P36" s="8" t="str">
        <f>TRIM(CLEAN(IF(ISERROR(FIND(P$2,Mail!$A34)),"",MID(Mail!$A34,FIND(P$2,Mail!$A34)+LEN(P$2)+1,IF(ISERROR(FIND("■",Mail!$A34,FIND(P$2,Mail!$A34)+LEN(P$2))-FIND(P$2,Mail!$A34)-LEN(P$2)),LEN(Mail!$A34)-60-FIND(P$2,Mail!$A34)-LEN(P$2),FIND("■",Mail!$A34,FIND(P$2,Mail!$A34)+LEN(P$2))-FIND(P$2,Mail!$A34)-LEN(P$2)-1)))))</f>
        <v/>
      </c>
      <c r="Q36" s="8" t="str">
        <f>TRIM(CLEAN(IF(ISERROR(FIND(Q$2,Mail!$A34)),"",MID(Mail!$A34,FIND(Q$2,Mail!$A34)+LEN(Q$2)+1,IF(ISERROR(FIND("■",Mail!$A34,FIND(Q$2,Mail!$A34)+LEN(Q$2))-FIND(Q$2,Mail!$A34)-LEN(Q$2)),LEN(Mail!$A34)-60-FIND(Q$2,Mail!$A34)-LEN(Q$2),FIND("■",Mail!$A34,FIND(Q$2,Mail!$A34)+LEN(Q$2))-FIND(Q$2,Mail!$A34)-LEN(Q$2)-1)))))</f>
        <v/>
      </c>
      <c r="R36" s="8" t="str">
        <f>TRIM(CLEAN(IF(ISERROR(FIND(R$2,Mail!$A34)),"",MID(Mail!$A34,FIND(R$2,Mail!$A34)+LEN(R$2)+1,IF(ISERROR(FIND("■",Mail!$A34,FIND(R$2,Mail!$A34)+LEN(R$2))-FIND(R$2,Mail!$A34)-LEN(R$2)),LEN(Mail!$A34)-60-FIND(R$2,Mail!$A34)-LEN(R$2),FIND("■",Mail!$A34,FIND(R$2,Mail!$A34)+LEN(R$2))-FIND(R$2,Mail!$A34)-LEN(R$2)-1)))))</f>
        <v/>
      </c>
      <c r="S36" s="8" t="str">
        <f>TRIM(CLEAN(IF(ISERROR(FIND(S$2,Mail!$A34)),"",MID(Mail!$A34,FIND(S$2,Mail!$A34)+LEN(S$2)+1,IF(ISERROR(FIND("■",Mail!$A34,FIND(S$2,Mail!$A34)+LEN(S$2))-FIND(S$2,Mail!$A34)-LEN(S$2)),LEN(Mail!$A34)-60-FIND(S$2,Mail!$A34)-LEN(S$2),FIND("■",Mail!$A34,FIND(S$2,Mail!$A34)+LEN(S$2))-FIND(S$2,Mail!$A34)-LEN(S$2)-1)))))</f>
        <v/>
      </c>
      <c r="T36" s="8" t="str">
        <f>TRIM(CLEAN(IF(ISERROR(FIND(T$2,Mail!$A34)),"",MID(Mail!$A34,FIND(T$2,Mail!$A34)+LEN(T$2)+1,IF(ISERROR(FIND("■",Mail!$A34,FIND(T$2,Mail!$A34)+LEN(T$2))-FIND(T$2,Mail!$A34)-LEN(T$2)),LEN(Mail!$A34)-60-FIND(T$2,Mail!$A34)-LEN(T$2),FIND("■",Mail!$A34,FIND(T$2,Mail!$A34)+LEN(T$2))-FIND(T$2,Mail!$A34)-LEN(T$2)-1)))))</f>
        <v/>
      </c>
      <c r="U36" s="8" t="str">
        <f>TRIM(CLEAN(IF(ISERROR(FIND(U$2,Mail!$A34)),"",MID(Mail!$A34,FIND(U$2,Mail!$A34)+LEN(U$2)+1,IF(ISERROR(FIND("■",Mail!$A34,FIND(U$2,Mail!$A34)+LEN(U$2))-FIND(U$2,Mail!$A34)-LEN(U$2)),LEN(Mail!$A34)-60-FIND(U$2,Mail!$A34)-LEN(U$2),FIND("■",Mail!$A34,FIND(U$2,Mail!$A34)+LEN(U$2))-FIND(U$2,Mail!$A34)-LEN(U$2)-1)))))</f>
        <v/>
      </c>
      <c r="V36" s="8" t="str">
        <f>TRIM(CLEAN(IF(ISERROR(FIND(V$2,Mail!$A34)),"",MID(Mail!$A34,FIND(V$2,Mail!$A34)+LEN(V$2)+1,IF(ISERROR(FIND("■",Mail!$A34,FIND(V$2,Mail!$A34)+LEN(V$2))-FIND(V$2,Mail!$A34)-LEN(V$2)),LEN(Mail!$A34)-60-FIND(V$2,Mail!$A34)-LEN(V$2),FIND("■",Mail!$A34,FIND(V$2,Mail!$A34)+LEN(V$2))-FIND(V$2,Mail!$A34)-LEN(V$2)-1)))))</f>
        <v/>
      </c>
      <c r="W36" s="8" t="str">
        <f>TRIM(CLEAN(IF(ISERROR(FIND(W$2,Mail!$A34)),"",MID(Mail!$A34,FIND(W$2,Mail!$A34)+LEN(W$2)+1,IF(ISERROR(FIND("■",Mail!$A34,FIND(W$2,Mail!$A34)+LEN(W$2))-FIND(W$2,Mail!$A34)-LEN(W$2)),LEN(Mail!$A34)-60-FIND(W$2,Mail!$A34)-LEN(W$2),FIND("■",Mail!$A34,FIND(W$2,Mail!$A34)+LEN(W$2))-FIND(W$2,Mail!$A34)-LEN(W$2)-1)))))</f>
        <v/>
      </c>
      <c r="X36" s="8" t="str">
        <f>TRIM(IF(ISERROR(FIND(X$2,Mail!$A34)),"",MID(Mail!$A34,FIND(X$2,Mail!$A34)+LEN(X$2)+1,IF(ISERROR(FIND("■",Mail!$A34,FIND(X$2,Mail!$A34)+LEN(X$2))-FIND(X$2,Mail!$A34)-LEN(X$2)),LEN(Mail!$A34)-60-FIND(X$2,Mail!$A34)-LEN(X$2),FIND("■",Mail!$A34,FIND(X$2,Mail!$A34)+LEN(X$2))-FIND(X$2,Mail!$A34)-LEN(X$2)-1))))</f>
        <v/>
      </c>
      <c r="Y36" s="8" t="str">
        <f>TRIM(CLEAN(IF(ISERROR(FIND(Y$2,Mail!$A34)),"",MID(Mail!$A34,FIND(Y$2,Mail!$A34)+LEN(Y$2)+1,IF(ISERROR(FIND("■",Mail!$A34,FIND(Y$2,Mail!$A34)+LEN(Y$2))-FIND(Y$2,Mail!$A34)-LEN(Y$2)),LEN(Mail!$A34)-60-FIND(Y$2,Mail!$A34)-LEN(Y$2),FIND("■",Mail!$A34,FIND(Y$2,Mail!$A34)+LEN(Y$2))-FIND(Y$2,Mail!$A34)-LEN(Y$2)-1)))))</f>
        <v/>
      </c>
      <c r="Z36" s="8" t="str">
        <f>TRIM(CLEAN(IF(ISERROR(FIND(Z$2,Mail!$A34)),"",MID(Mail!$A34,FIND(Z$2,Mail!$A34)+LEN(Z$2)+1,IF(ISERROR(FIND("■",Mail!$A34,FIND(Z$2,Mail!$A34)+LEN(Z$2))-FIND(Z$2,Mail!$A34)-LEN(Z$2)),LEN(Mail!$A34)-60-FIND(Z$2,Mail!$A34)-LEN(Z$2),FIND("■",Mail!$A34,FIND(Z$2,Mail!$A34)+LEN(Z$2))-FIND(Z$2,Mail!$A34)-LEN(Z$2)-1)))))</f>
        <v/>
      </c>
      <c r="AA36" s="8" t="str">
        <f>TRIM(CLEAN(IF(ISERROR(FIND(AA$2,Mail!$A34)),"",MID(Mail!$A34,FIND(AA$2,Mail!$A34)+LEN(AA$2)+1,IF(ISERROR(FIND("■",Mail!$A34,FIND(AA$2,Mail!$A34)+LEN(AA$2))-FIND(AA$2,Mail!$A34)-LEN(AA$2)),LEN(Mail!$A34)-60-FIND(AA$2,Mail!$A34)-LEN(AA$2),FIND("■",Mail!$A34,FIND(AA$2,Mail!$A34)+LEN(AA$2))-FIND(AA$2,Mail!$A34)-LEN(AA$2)-1)))))</f>
        <v/>
      </c>
      <c r="AB36" s="8" t="str">
        <f>TRIM(CLEAN(IF(ISERROR(FIND(AB$2,Mail!$A34)),"",MID(Mail!$A34,FIND(AB$2,Mail!$A34)+LEN(AB$2)+1,IF(ISERROR(FIND("■",Mail!$A34,FIND(AB$2,Mail!$A34)+LEN(AB$2))-FIND(AB$2,Mail!$A34)-LEN(AB$2)),LEN(Mail!$A34)-60-FIND(AB$2,Mail!$A34)-LEN(AB$2),FIND("■",Mail!$A34,FIND(AB$2,Mail!$A34)+LEN(AB$2))-FIND(AB$2,Mail!$A34)-LEN(AB$2)-1)))))</f>
        <v/>
      </c>
      <c r="AC36" s="8" t="str">
        <f>TRIM(CLEAN(IF(ISERROR(FIND(AC$2,Mail!$A34)),"",MID(Mail!$A34,FIND(AC$2,Mail!$A34)+LEN(AC$2)+1,IF(ISERROR(FIND("■",Mail!$A34,FIND(AC$2,Mail!$A34)+LEN(AC$2))-FIND(AC$2,Mail!$A34)-LEN(AC$2)),LEN(Mail!$A34)-60-FIND(AC$2,Mail!$A34)-LEN(AC$2),FIND("■",Mail!$A34,FIND(AC$2,Mail!$A34)+LEN(AC$2))-FIND(AC$2,Mail!$A34)-LEN(AC$2)-1)))))</f>
        <v/>
      </c>
      <c r="AD36" s="8" t="str">
        <f>TRIM(CLEAN(IF(ISERROR(FIND(AD$2,Mail!$A34)),"",MID(Mail!$A34,FIND(AD$2,Mail!$A34)+LEN(AD$2)+1,IF(ISERROR(FIND("■",Mail!$A34,FIND(AD$2,Mail!$A34)+LEN(AD$2))-FIND(AD$2,Mail!$A34)-LEN(AD$2)),LEN(Mail!$A34)-60-FIND(AD$2,Mail!$A34)-LEN(AD$2),FIND("■",Mail!$A34,FIND(AD$2,Mail!$A34)+LEN(AD$2))-FIND(AD$2,Mail!$A34)-LEN(AD$2)-1)))))</f>
        <v/>
      </c>
      <c r="AE36" s="8" t="str">
        <f>TRIM(CLEAN(IF(ISERROR(FIND(AE$2,Mail!$A34)),"",MID(Mail!$A34,FIND(AE$2,Mail!$A34)+LEN(AE$2)+1,IF(ISERROR(FIND("■",Mail!$A34,FIND(AE$2,Mail!$A34)+LEN(AE$2))-FIND(AE$2,Mail!$A34)-LEN(AE$2)),LEN(Mail!$A34)-60-FIND(AE$2,Mail!$A34)-LEN(AE$2),FIND("■",Mail!$A34,FIND(AE$2,Mail!$A34)+LEN(AE$2))-FIND(AE$2,Mail!$A34)-LEN(AE$2)-1)))))</f>
        <v/>
      </c>
      <c r="AF36" s="8" t="str">
        <f>TRIM(CLEAN(IF(ISERROR(FIND(AF$2,Mail!$A34)),"",MID(Mail!$A34,FIND(AF$2,Mail!$A34)+LEN(AF$2)+1,IF(ISERROR(FIND("■",Mail!$A34,FIND(AF$2,Mail!$A34)+LEN(AF$2))-FIND(AF$2,Mail!$A34)-LEN(AF$2)),LEN(Mail!$A34)-60-FIND(AF$2,Mail!$A34)-LEN(AF$2),FIND("■",Mail!$A34,FIND(AF$2,Mail!$A34)+LEN(AF$2))-FIND(AF$2,Mail!$A34)-LEN(AF$2)-1)))))</f>
        <v/>
      </c>
      <c r="AG36" s="8" t="str">
        <f>TRIM(IF(ISERROR(FIND(AG$2,Mail!$A34)),"",MID(Mail!$A34,FIND(AG$2,Mail!$A34)+LEN(AG$2)+1,IF(ISERROR(FIND("■",Mail!$A34,FIND(AG$2,Mail!$A34)+LEN(AG$2))-FIND(AG$2,Mail!$A34)-LEN(AG$2)),LEN(Mail!$A34)-60-FIND(AG$2,Mail!$A34)-LEN(AG$2),FIND("■",Mail!$A34,FIND(AG$2,Mail!$A34)+LEN(AG$2))-FIND(AG$2,Mail!$A34)-LEN(AG$2)-1))))</f>
        <v/>
      </c>
      <c r="AH36" s="8" t="str">
        <f>TRIM(IF(ISERROR(FIND(AH$2,Mail!$A34)),"",MID(Mail!$A34,FIND(AH$2,Mail!$A34)+LEN(AH$2)+1,IF(ISERROR(FIND("■",Mail!$A34,FIND(AH$2,Mail!$A34)+LEN(AH$2))-FIND(AH$2,Mail!$A34)-LEN(AH$2)),LEN(Mail!$A34)-60-FIND(AH$2,Mail!$A34)-LEN(AH$2),FIND("■",Mail!$A34,FIND(AH$2,Mail!$A34)+LEN(AH$2))-FIND(AH$2,Mail!$A34)-LEN(AH$2)-1))))</f>
        <v/>
      </c>
      <c r="AI36" s="8" t="str">
        <f>TRIM(IF(ISERROR(FIND(AI$2,Mail!$A34)),"",MID(Mail!$A34,FIND(AI$2,Mail!$A34)+LEN(AI$2)+1,IF(ISERROR(FIND("■",Mail!$A34,FIND(AI$2,Mail!$A34)+LEN(AI$2))-FIND(AI$2,Mail!$A34)-LEN(AI$2)),LEN(Mail!$A34)-60-FIND(AI$2,Mail!$A34)-LEN(AI$2),FIND("■",Mail!$A34,FIND(AI$2,Mail!$A34)+LEN(AI$2))-FIND(AI$2,Mail!$A34)-LEN(AI$2)-1))))</f>
        <v/>
      </c>
    </row>
    <row r="37" spans="1:35" s="8" customFormat="1" x14ac:dyDescent="0.15">
      <c r="A37" s="9" t="str">
        <f t="shared" si="1"/>
        <v/>
      </c>
      <c r="B37" s="8" t="str">
        <f>CLEAN(SUBSTITUTE(IF(ISERROR(FIND("yokohama",Mail!$A35)),"",MID(Mail!$A35,FIND("yokohama",Mail!$A35)+LEN("yokohama")+1,FIND("件目",Mail!$A35,FIND("yokohama",Mail!$A35))-(FIND("yokohama",Mail!$A35)+LEN("yokohama")+1)))," ",""))</f>
        <v/>
      </c>
      <c r="C37" s="9" t="str">
        <f t="shared" si="4"/>
        <v/>
      </c>
      <c r="D37" s="9" t="str">
        <f t="shared" si="2"/>
        <v/>
      </c>
      <c r="E37" s="8" t="str">
        <f t="shared" si="3"/>
        <v/>
      </c>
      <c r="F37" s="8" t="str">
        <f>TRIM(CLEAN(IF(ISERROR(FIND(F$2,Mail!$A35)),"",MID(Mail!$A35,FIND(F$2,Mail!$A35)+LEN(F$2)+1,IF(ISERROR(FIND("■",Mail!$A35,FIND(F$2,Mail!$A35)+LEN(F$2))-FIND(F$2,Mail!$A35)-LEN(F$2)),LEN(Mail!$A35)-60-FIND(F$2,Mail!$A35)-LEN(F$2),FIND("■",Mail!$A35,FIND(F$2,Mail!$A35)+LEN(F$2))-FIND(F$2,Mail!$A35)-LEN(F$2)-1)))))</f>
        <v/>
      </c>
      <c r="G37" s="8" t="str">
        <f>TRIM(CLEAN(IF(ISERROR(FIND(G$2,Mail!$A35)),"",MID(Mail!$A35,FIND(G$2,Mail!$A35)+LEN(G$2)+1,IF(ISERROR(FIND("■",Mail!$A35,FIND(G$2,Mail!$A35)+LEN(G$2))-FIND(G$2,Mail!$A35)-LEN(G$2)),LEN(Mail!$A35)-60-FIND(G$2,Mail!$A35)-LEN(G$2),FIND("■",Mail!$A35,FIND(G$2,Mail!$A35)+LEN(G$2))-FIND(G$2,Mail!$A35)-LEN(G$2)-1)))))</f>
        <v/>
      </c>
      <c r="H37" s="8" t="str">
        <f>TRIM(CLEAN(IF(ISERROR(FIND(H$2,Mail!$A35)),"",MID(Mail!$A35,FIND(H$2,Mail!$A35)+LEN(H$2)+1,IF(ISERROR(FIND("■",Mail!$A35,FIND(H$2,Mail!$A35)+LEN(H$2))-FIND(H$2,Mail!$A35)-LEN(H$2)),LEN(Mail!$A35)-60-FIND(H$2,Mail!$A35)-LEN(H$2),FIND("■",Mail!$A35,FIND(H$2,Mail!$A35)+LEN(H$2))-FIND(H$2,Mail!$A35)-LEN(H$2)-1)))))</f>
        <v/>
      </c>
      <c r="I37" s="8" t="str">
        <f>TRIM(CLEAN(IF(ISERROR(FIND(I$2,Mail!$A35)),"",MID(Mail!$A35,FIND(I$2,Mail!$A35)+LEN(I$2)+1,IF(ISERROR(FIND("■",Mail!$A35,FIND(I$2,Mail!$A35)+LEN(I$2))-FIND(I$2,Mail!$A35)-LEN(I$2)),LEN(Mail!$A35)-60-FIND(I$2,Mail!$A35)-LEN(I$2),FIND("■",Mail!$A35,FIND(I$2,Mail!$A35)+LEN(I$2))-FIND(I$2,Mail!$A35)-LEN(I$2)-1)))))</f>
        <v/>
      </c>
      <c r="J37" s="8" t="str">
        <f>TRIM(IF(ISERROR(FIND(J$2,Mail!$A35)),"",MID(Mail!$A35,FIND(J$2,Mail!$A35)+LEN(J$2)+1,IF(ISERROR(FIND("■",Mail!$A35,FIND(J$2,Mail!$A35)+LEN(J$2))-FIND(J$2,Mail!$A35)-LEN(J$2)),LEN(Mail!$A35)-60-FIND(J$2,Mail!$A35)-LEN(J$2),FIND("■",Mail!$A35,FIND(J$2,Mail!$A35)+LEN(J$2))-FIND(J$2,Mail!$A35)-LEN(J$2)-1))))</f>
        <v/>
      </c>
      <c r="K37" s="8" t="str">
        <f>TRIM(IF(ISERROR(FIND(K$2,Mail!$A35)),"",MID(Mail!$A35,FIND(K$2,Mail!$A35)+LEN(K$2)+1,IF(ISERROR(FIND("■",Mail!$A35,FIND(K$2,Mail!$A35)+LEN(K$2))-FIND(K$2,Mail!$A35)-LEN(K$2)),LEN(Mail!$A35)-60-FIND(K$2,Mail!$A35)-LEN(K$2),FIND("■",Mail!$A35,FIND(K$2,Mail!$A35)+LEN(K$2))-FIND(K$2,Mail!$A35)-LEN(K$2)-1))))</f>
        <v/>
      </c>
      <c r="L37" s="8" t="str">
        <f>TRIM(IF(ISERROR(FIND(L$2,Mail!$A35)),"",MID(Mail!$A35,FIND(L$2,Mail!$A35)+LEN(L$2)+1,IF(ISERROR(FIND("■",Mail!$A35,FIND(L$2,Mail!$A35)+LEN(L$2))-FIND(L$2,Mail!$A35)-LEN(L$2)),LEN(Mail!$A35)-60-FIND(L$2,Mail!$A35)-LEN(L$2),FIND("■",Mail!$A35,FIND(L$2,Mail!$A35)+LEN(L$2))-FIND(L$2,Mail!$A35)-LEN(L$2)-1))))</f>
        <v/>
      </c>
      <c r="M37" s="8" t="str">
        <f>TRIM(CLEAN(IF(ISERROR(FIND(M$2,Mail!$A35)),"",MID(Mail!$A35,FIND(M$2,Mail!$A35)+LEN(M$2)+1,IF(ISERROR(FIND("■",Mail!$A35,FIND(M$2,Mail!$A35)+LEN(M$2))-FIND(M$2,Mail!$A35)-LEN(M$2)),LEN(Mail!$A35)-60-FIND(M$2,Mail!$A35)-LEN(M$2),FIND("■",Mail!$A35,FIND(M$2,Mail!$A35)+LEN(M$2))-FIND(M$2,Mail!$A35)-LEN(M$2)-1)))))</f>
        <v/>
      </c>
      <c r="N37" s="8" t="str">
        <f>TRIM(CLEAN(IF(ISERROR(FIND(N$2,Mail!$A35)),"",MID(Mail!$A35,FIND(N$2,Mail!$A35)+LEN(N$2)+1,IF(ISERROR(FIND("■",Mail!$A35,FIND(N$2,Mail!$A35)+LEN(N$2))-FIND(N$2,Mail!$A35)-LEN(N$2)),LEN(Mail!$A35)-60-FIND(N$2,Mail!$A35)-LEN(N$2),FIND("■",Mail!$A35,FIND(N$2,Mail!$A35)+LEN(N$2))-FIND(N$2,Mail!$A35)-LEN(N$2)-1)))))</f>
        <v/>
      </c>
      <c r="O37" s="8" t="str">
        <f>TRIM(CLEAN(IF(ISERROR(FIND(O$2,Mail!$A35)),"",MID(Mail!$A35,FIND(O$2,Mail!$A35)+LEN(O$2)+1,IF(ISERROR(FIND("■",Mail!$A35,FIND(O$2,Mail!$A35)+LEN(O$2))-FIND(O$2,Mail!$A35)-LEN(O$2)),LEN(Mail!$A35)-60-FIND(O$2,Mail!$A35)-LEN(O$2),FIND("■",Mail!$A35,FIND(O$2,Mail!$A35)+LEN(O$2))-FIND(O$2,Mail!$A35)-LEN(O$2)-1)))))</f>
        <v/>
      </c>
      <c r="P37" s="8" t="str">
        <f>TRIM(CLEAN(IF(ISERROR(FIND(P$2,Mail!$A35)),"",MID(Mail!$A35,FIND(P$2,Mail!$A35)+LEN(P$2)+1,IF(ISERROR(FIND("■",Mail!$A35,FIND(P$2,Mail!$A35)+LEN(P$2))-FIND(P$2,Mail!$A35)-LEN(P$2)),LEN(Mail!$A35)-60-FIND(P$2,Mail!$A35)-LEN(P$2),FIND("■",Mail!$A35,FIND(P$2,Mail!$A35)+LEN(P$2))-FIND(P$2,Mail!$A35)-LEN(P$2)-1)))))</f>
        <v/>
      </c>
      <c r="Q37" s="8" t="str">
        <f>TRIM(CLEAN(IF(ISERROR(FIND(Q$2,Mail!$A35)),"",MID(Mail!$A35,FIND(Q$2,Mail!$A35)+LEN(Q$2)+1,IF(ISERROR(FIND("■",Mail!$A35,FIND(Q$2,Mail!$A35)+LEN(Q$2))-FIND(Q$2,Mail!$A35)-LEN(Q$2)),LEN(Mail!$A35)-60-FIND(Q$2,Mail!$A35)-LEN(Q$2),FIND("■",Mail!$A35,FIND(Q$2,Mail!$A35)+LEN(Q$2))-FIND(Q$2,Mail!$A35)-LEN(Q$2)-1)))))</f>
        <v/>
      </c>
      <c r="R37" s="8" t="str">
        <f>TRIM(CLEAN(IF(ISERROR(FIND(R$2,Mail!$A35)),"",MID(Mail!$A35,FIND(R$2,Mail!$A35)+LEN(R$2)+1,IF(ISERROR(FIND("■",Mail!$A35,FIND(R$2,Mail!$A35)+LEN(R$2))-FIND(R$2,Mail!$A35)-LEN(R$2)),LEN(Mail!$A35)-60-FIND(R$2,Mail!$A35)-LEN(R$2),FIND("■",Mail!$A35,FIND(R$2,Mail!$A35)+LEN(R$2))-FIND(R$2,Mail!$A35)-LEN(R$2)-1)))))</f>
        <v/>
      </c>
      <c r="S37" s="8" t="str">
        <f>TRIM(CLEAN(IF(ISERROR(FIND(S$2,Mail!$A35)),"",MID(Mail!$A35,FIND(S$2,Mail!$A35)+LEN(S$2)+1,IF(ISERROR(FIND("■",Mail!$A35,FIND(S$2,Mail!$A35)+LEN(S$2))-FIND(S$2,Mail!$A35)-LEN(S$2)),LEN(Mail!$A35)-60-FIND(S$2,Mail!$A35)-LEN(S$2),FIND("■",Mail!$A35,FIND(S$2,Mail!$A35)+LEN(S$2))-FIND(S$2,Mail!$A35)-LEN(S$2)-1)))))</f>
        <v/>
      </c>
      <c r="T37" s="8" t="str">
        <f>TRIM(CLEAN(IF(ISERROR(FIND(T$2,Mail!$A35)),"",MID(Mail!$A35,FIND(T$2,Mail!$A35)+LEN(T$2)+1,IF(ISERROR(FIND("■",Mail!$A35,FIND(T$2,Mail!$A35)+LEN(T$2))-FIND(T$2,Mail!$A35)-LEN(T$2)),LEN(Mail!$A35)-60-FIND(T$2,Mail!$A35)-LEN(T$2),FIND("■",Mail!$A35,FIND(T$2,Mail!$A35)+LEN(T$2))-FIND(T$2,Mail!$A35)-LEN(T$2)-1)))))</f>
        <v/>
      </c>
      <c r="U37" s="8" t="str">
        <f>TRIM(CLEAN(IF(ISERROR(FIND(U$2,Mail!$A35)),"",MID(Mail!$A35,FIND(U$2,Mail!$A35)+LEN(U$2)+1,IF(ISERROR(FIND("■",Mail!$A35,FIND(U$2,Mail!$A35)+LEN(U$2))-FIND(U$2,Mail!$A35)-LEN(U$2)),LEN(Mail!$A35)-60-FIND(U$2,Mail!$A35)-LEN(U$2),FIND("■",Mail!$A35,FIND(U$2,Mail!$A35)+LEN(U$2))-FIND(U$2,Mail!$A35)-LEN(U$2)-1)))))</f>
        <v/>
      </c>
      <c r="V37" s="8" t="str">
        <f>TRIM(CLEAN(IF(ISERROR(FIND(V$2,Mail!$A35)),"",MID(Mail!$A35,FIND(V$2,Mail!$A35)+LEN(V$2)+1,IF(ISERROR(FIND("■",Mail!$A35,FIND(V$2,Mail!$A35)+LEN(V$2))-FIND(V$2,Mail!$A35)-LEN(V$2)),LEN(Mail!$A35)-60-FIND(V$2,Mail!$A35)-LEN(V$2),FIND("■",Mail!$A35,FIND(V$2,Mail!$A35)+LEN(V$2))-FIND(V$2,Mail!$A35)-LEN(V$2)-1)))))</f>
        <v/>
      </c>
      <c r="W37" s="8" t="str">
        <f>TRIM(CLEAN(IF(ISERROR(FIND(W$2,Mail!$A35)),"",MID(Mail!$A35,FIND(W$2,Mail!$A35)+LEN(W$2)+1,IF(ISERROR(FIND("■",Mail!$A35,FIND(W$2,Mail!$A35)+LEN(W$2))-FIND(W$2,Mail!$A35)-LEN(W$2)),LEN(Mail!$A35)-60-FIND(W$2,Mail!$A35)-LEN(W$2),FIND("■",Mail!$A35,FIND(W$2,Mail!$A35)+LEN(W$2))-FIND(W$2,Mail!$A35)-LEN(W$2)-1)))))</f>
        <v/>
      </c>
      <c r="X37" s="8" t="str">
        <f>TRIM(IF(ISERROR(FIND(X$2,Mail!$A35)),"",MID(Mail!$A35,FIND(X$2,Mail!$A35)+LEN(X$2)+1,IF(ISERROR(FIND("■",Mail!$A35,FIND(X$2,Mail!$A35)+LEN(X$2))-FIND(X$2,Mail!$A35)-LEN(X$2)),LEN(Mail!$A35)-60-FIND(X$2,Mail!$A35)-LEN(X$2),FIND("■",Mail!$A35,FIND(X$2,Mail!$A35)+LEN(X$2))-FIND(X$2,Mail!$A35)-LEN(X$2)-1))))</f>
        <v/>
      </c>
      <c r="Y37" s="8" t="str">
        <f>TRIM(CLEAN(IF(ISERROR(FIND(Y$2,Mail!$A35)),"",MID(Mail!$A35,FIND(Y$2,Mail!$A35)+LEN(Y$2)+1,IF(ISERROR(FIND("■",Mail!$A35,FIND(Y$2,Mail!$A35)+LEN(Y$2))-FIND(Y$2,Mail!$A35)-LEN(Y$2)),LEN(Mail!$A35)-60-FIND(Y$2,Mail!$A35)-LEN(Y$2),FIND("■",Mail!$A35,FIND(Y$2,Mail!$A35)+LEN(Y$2))-FIND(Y$2,Mail!$A35)-LEN(Y$2)-1)))))</f>
        <v/>
      </c>
      <c r="Z37" s="8" t="str">
        <f>TRIM(CLEAN(IF(ISERROR(FIND(Z$2,Mail!$A35)),"",MID(Mail!$A35,FIND(Z$2,Mail!$A35)+LEN(Z$2)+1,IF(ISERROR(FIND("■",Mail!$A35,FIND(Z$2,Mail!$A35)+LEN(Z$2))-FIND(Z$2,Mail!$A35)-LEN(Z$2)),LEN(Mail!$A35)-60-FIND(Z$2,Mail!$A35)-LEN(Z$2),FIND("■",Mail!$A35,FIND(Z$2,Mail!$A35)+LEN(Z$2))-FIND(Z$2,Mail!$A35)-LEN(Z$2)-1)))))</f>
        <v/>
      </c>
      <c r="AA37" s="8" t="str">
        <f>TRIM(CLEAN(IF(ISERROR(FIND(AA$2,Mail!$A35)),"",MID(Mail!$A35,FIND(AA$2,Mail!$A35)+LEN(AA$2)+1,IF(ISERROR(FIND("■",Mail!$A35,FIND(AA$2,Mail!$A35)+LEN(AA$2))-FIND(AA$2,Mail!$A35)-LEN(AA$2)),LEN(Mail!$A35)-60-FIND(AA$2,Mail!$A35)-LEN(AA$2),FIND("■",Mail!$A35,FIND(AA$2,Mail!$A35)+LEN(AA$2))-FIND(AA$2,Mail!$A35)-LEN(AA$2)-1)))))</f>
        <v/>
      </c>
      <c r="AB37" s="8" t="str">
        <f>TRIM(CLEAN(IF(ISERROR(FIND(AB$2,Mail!$A35)),"",MID(Mail!$A35,FIND(AB$2,Mail!$A35)+LEN(AB$2)+1,IF(ISERROR(FIND("■",Mail!$A35,FIND(AB$2,Mail!$A35)+LEN(AB$2))-FIND(AB$2,Mail!$A35)-LEN(AB$2)),LEN(Mail!$A35)-60-FIND(AB$2,Mail!$A35)-LEN(AB$2),FIND("■",Mail!$A35,FIND(AB$2,Mail!$A35)+LEN(AB$2))-FIND(AB$2,Mail!$A35)-LEN(AB$2)-1)))))</f>
        <v/>
      </c>
      <c r="AC37" s="8" t="str">
        <f>TRIM(CLEAN(IF(ISERROR(FIND(AC$2,Mail!$A35)),"",MID(Mail!$A35,FIND(AC$2,Mail!$A35)+LEN(AC$2)+1,IF(ISERROR(FIND("■",Mail!$A35,FIND(AC$2,Mail!$A35)+LEN(AC$2))-FIND(AC$2,Mail!$A35)-LEN(AC$2)),LEN(Mail!$A35)-60-FIND(AC$2,Mail!$A35)-LEN(AC$2),FIND("■",Mail!$A35,FIND(AC$2,Mail!$A35)+LEN(AC$2))-FIND(AC$2,Mail!$A35)-LEN(AC$2)-1)))))</f>
        <v/>
      </c>
      <c r="AD37" s="8" t="str">
        <f>TRIM(CLEAN(IF(ISERROR(FIND(AD$2,Mail!$A35)),"",MID(Mail!$A35,FIND(AD$2,Mail!$A35)+LEN(AD$2)+1,IF(ISERROR(FIND("■",Mail!$A35,FIND(AD$2,Mail!$A35)+LEN(AD$2))-FIND(AD$2,Mail!$A35)-LEN(AD$2)),LEN(Mail!$A35)-60-FIND(AD$2,Mail!$A35)-LEN(AD$2),FIND("■",Mail!$A35,FIND(AD$2,Mail!$A35)+LEN(AD$2))-FIND(AD$2,Mail!$A35)-LEN(AD$2)-1)))))</f>
        <v/>
      </c>
      <c r="AE37" s="8" t="str">
        <f>TRIM(CLEAN(IF(ISERROR(FIND(AE$2,Mail!$A35)),"",MID(Mail!$A35,FIND(AE$2,Mail!$A35)+LEN(AE$2)+1,IF(ISERROR(FIND("■",Mail!$A35,FIND(AE$2,Mail!$A35)+LEN(AE$2))-FIND(AE$2,Mail!$A35)-LEN(AE$2)),LEN(Mail!$A35)-60-FIND(AE$2,Mail!$A35)-LEN(AE$2),FIND("■",Mail!$A35,FIND(AE$2,Mail!$A35)+LEN(AE$2))-FIND(AE$2,Mail!$A35)-LEN(AE$2)-1)))))</f>
        <v/>
      </c>
      <c r="AF37" s="8" t="str">
        <f>TRIM(CLEAN(IF(ISERROR(FIND(AF$2,Mail!$A35)),"",MID(Mail!$A35,FIND(AF$2,Mail!$A35)+LEN(AF$2)+1,IF(ISERROR(FIND("■",Mail!$A35,FIND(AF$2,Mail!$A35)+LEN(AF$2))-FIND(AF$2,Mail!$A35)-LEN(AF$2)),LEN(Mail!$A35)-60-FIND(AF$2,Mail!$A35)-LEN(AF$2),FIND("■",Mail!$A35,FIND(AF$2,Mail!$A35)+LEN(AF$2))-FIND(AF$2,Mail!$A35)-LEN(AF$2)-1)))))</f>
        <v/>
      </c>
      <c r="AG37" s="8" t="str">
        <f>TRIM(IF(ISERROR(FIND(AG$2,Mail!$A35)),"",MID(Mail!$A35,FIND(AG$2,Mail!$A35)+LEN(AG$2)+1,IF(ISERROR(FIND("■",Mail!$A35,FIND(AG$2,Mail!$A35)+LEN(AG$2))-FIND(AG$2,Mail!$A35)-LEN(AG$2)),LEN(Mail!$A35)-60-FIND(AG$2,Mail!$A35)-LEN(AG$2),FIND("■",Mail!$A35,FIND(AG$2,Mail!$A35)+LEN(AG$2))-FIND(AG$2,Mail!$A35)-LEN(AG$2)-1))))</f>
        <v/>
      </c>
      <c r="AH37" s="8" t="str">
        <f>TRIM(IF(ISERROR(FIND(AH$2,Mail!$A35)),"",MID(Mail!$A35,FIND(AH$2,Mail!$A35)+LEN(AH$2)+1,IF(ISERROR(FIND("■",Mail!$A35,FIND(AH$2,Mail!$A35)+LEN(AH$2))-FIND(AH$2,Mail!$A35)-LEN(AH$2)),LEN(Mail!$A35)-60-FIND(AH$2,Mail!$A35)-LEN(AH$2),FIND("■",Mail!$A35,FIND(AH$2,Mail!$A35)+LEN(AH$2))-FIND(AH$2,Mail!$A35)-LEN(AH$2)-1))))</f>
        <v/>
      </c>
      <c r="AI37" s="8" t="str">
        <f>TRIM(IF(ISERROR(FIND(AI$2,Mail!$A35)),"",MID(Mail!$A35,FIND(AI$2,Mail!$A35)+LEN(AI$2)+1,IF(ISERROR(FIND("■",Mail!$A35,FIND(AI$2,Mail!$A35)+LEN(AI$2))-FIND(AI$2,Mail!$A35)-LEN(AI$2)),LEN(Mail!$A35)-60-FIND(AI$2,Mail!$A35)-LEN(AI$2),FIND("■",Mail!$A35,FIND(AI$2,Mail!$A35)+LEN(AI$2))-FIND(AI$2,Mail!$A35)-LEN(AI$2)-1))))</f>
        <v/>
      </c>
    </row>
    <row r="38" spans="1:35" s="8" customFormat="1" x14ac:dyDescent="0.15">
      <c r="A38" s="9" t="str">
        <f t="shared" si="1"/>
        <v/>
      </c>
      <c r="B38" s="8" t="str">
        <f>CLEAN(SUBSTITUTE(IF(ISERROR(FIND("yokohama",Mail!$A36)),"",MID(Mail!$A36,FIND("yokohama",Mail!$A36)+LEN("yokohama")+1,FIND("件目",Mail!$A36,FIND("yokohama",Mail!$A36))-(FIND("yokohama",Mail!$A36)+LEN("yokohama")+1)))," ",""))</f>
        <v/>
      </c>
      <c r="C38" s="9" t="str">
        <f t="shared" si="4"/>
        <v/>
      </c>
      <c r="D38" s="9" t="str">
        <f t="shared" si="2"/>
        <v/>
      </c>
      <c r="E38" s="8" t="str">
        <f t="shared" si="3"/>
        <v/>
      </c>
      <c r="F38" s="8" t="str">
        <f>TRIM(CLEAN(IF(ISERROR(FIND(F$2,Mail!$A36)),"",MID(Mail!$A36,FIND(F$2,Mail!$A36)+LEN(F$2)+1,IF(ISERROR(FIND("■",Mail!$A36,FIND(F$2,Mail!$A36)+LEN(F$2))-FIND(F$2,Mail!$A36)-LEN(F$2)),LEN(Mail!$A36)-60-FIND(F$2,Mail!$A36)-LEN(F$2),FIND("■",Mail!$A36,FIND(F$2,Mail!$A36)+LEN(F$2))-FIND(F$2,Mail!$A36)-LEN(F$2)-1)))))</f>
        <v/>
      </c>
      <c r="G38" s="8" t="str">
        <f>TRIM(CLEAN(IF(ISERROR(FIND(G$2,Mail!$A36)),"",MID(Mail!$A36,FIND(G$2,Mail!$A36)+LEN(G$2)+1,IF(ISERROR(FIND("■",Mail!$A36,FIND(G$2,Mail!$A36)+LEN(G$2))-FIND(G$2,Mail!$A36)-LEN(G$2)),LEN(Mail!$A36)-60-FIND(G$2,Mail!$A36)-LEN(G$2),FIND("■",Mail!$A36,FIND(G$2,Mail!$A36)+LEN(G$2))-FIND(G$2,Mail!$A36)-LEN(G$2)-1)))))</f>
        <v/>
      </c>
      <c r="H38" s="8" t="str">
        <f>TRIM(CLEAN(IF(ISERROR(FIND(H$2,Mail!$A36)),"",MID(Mail!$A36,FIND(H$2,Mail!$A36)+LEN(H$2)+1,IF(ISERROR(FIND("■",Mail!$A36,FIND(H$2,Mail!$A36)+LEN(H$2))-FIND(H$2,Mail!$A36)-LEN(H$2)),LEN(Mail!$A36)-60-FIND(H$2,Mail!$A36)-LEN(H$2),FIND("■",Mail!$A36,FIND(H$2,Mail!$A36)+LEN(H$2))-FIND(H$2,Mail!$A36)-LEN(H$2)-1)))))</f>
        <v/>
      </c>
      <c r="I38" s="8" t="str">
        <f>TRIM(CLEAN(IF(ISERROR(FIND(I$2,Mail!$A36)),"",MID(Mail!$A36,FIND(I$2,Mail!$A36)+LEN(I$2)+1,IF(ISERROR(FIND("■",Mail!$A36,FIND(I$2,Mail!$A36)+LEN(I$2))-FIND(I$2,Mail!$A36)-LEN(I$2)),LEN(Mail!$A36)-60-FIND(I$2,Mail!$A36)-LEN(I$2),FIND("■",Mail!$A36,FIND(I$2,Mail!$A36)+LEN(I$2))-FIND(I$2,Mail!$A36)-LEN(I$2)-1)))))</f>
        <v/>
      </c>
      <c r="J38" s="8" t="str">
        <f>TRIM(IF(ISERROR(FIND(J$2,Mail!$A36)),"",MID(Mail!$A36,FIND(J$2,Mail!$A36)+LEN(J$2)+1,IF(ISERROR(FIND("■",Mail!$A36,FIND(J$2,Mail!$A36)+LEN(J$2))-FIND(J$2,Mail!$A36)-LEN(J$2)),LEN(Mail!$A36)-60-FIND(J$2,Mail!$A36)-LEN(J$2),FIND("■",Mail!$A36,FIND(J$2,Mail!$A36)+LEN(J$2))-FIND(J$2,Mail!$A36)-LEN(J$2)-1))))</f>
        <v/>
      </c>
      <c r="K38" s="8" t="str">
        <f>TRIM(IF(ISERROR(FIND(K$2,Mail!$A36)),"",MID(Mail!$A36,FIND(K$2,Mail!$A36)+LEN(K$2)+1,IF(ISERROR(FIND("■",Mail!$A36,FIND(K$2,Mail!$A36)+LEN(K$2))-FIND(K$2,Mail!$A36)-LEN(K$2)),LEN(Mail!$A36)-60-FIND(K$2,Mail!$A36)-LEN(K$2),FIND("■",Mail!$A36,FIND(K$2,Mail!$A36)+LEN(K$2))-FIND(K$2,Mail!$A36)-LEN(K$2)-1))))</f>
        <v/>
      </c>
      <c r="L38" s="8" t="str">
        <f>TRIM(IF(ISERROR(FIND(L$2,Mail!$A36)),"",MID(Mail!$A36,FIND(L$2,Mail!$A36)+LEN(L$2)+1,IF(ISERROR(FIND("■",Mail!$A36,FIND(L$2,Mail!$A36)+LEN(L$2))-FIND(L$2,Mail!$A36)-LEN(L$2)),LEN(Mail!$A36)-60-FIND(L$2,Mail!$A36)-LEN(L$2),FIND("■",Mail!$A36,FIND(L$2,Mail!$A36)+LEN(L$2))-FIND(L$2,Mail!$A36)-LEN(L$2)-1))))</f>
        <v/>
      </c>
      <c r="M38" s="8" t="str">
        <f>TRIM(CLEAN(IF(ISERROR(FIND(M$2,Mail!$A36)),"",MID(Mail!$A36,FIND(M$2,Mail!$A36)+LEN(M$2)+1,IF(ISERROR(FIND("■",Mail!$A36,FIND(M$2,Mail!$A36)+LEN(M$2))-FIND(M$2,Mail!$A36)-LEN(M$2)),LEN(Mail!$A36)-60-FIND(M$2,Mail!$A36)-LEN(M$2),FIND("■",Mail!$A36,FIND(M$2,Mail!$A36)+LEN(M$2))-FIND(M$2,Mail!$A36)-LEN(M$2)-1)))))</f>
        <v/>
      </c>
      <c r="N38" s="8" t="str">
        <f>TRIM(CLEAN(IF(ISERROR(FIND(N$2,Mail!$A36)),"",MID(Mail!$A36,FIND(N$2,Mail!$A36)+LEN(N$2)+1,IF(ISERROR(FIND("■",Mail!$A36,FIND(N$2,Mail!$A36)+LEN(N$2))-FIND(N$2,Mail!$A36)-LEN(N$2)),LEN(Mail!$A36)-60-FIND(N$2,Mail!$A36)-LEN(N$2),FIND("■",Mail!$A36,FIND(N$2,Mail!$A36)+LEN(N$2))-FIND(N$2,Mail!$A36)-LEN(N$2)-1)))))</f>
        <v/>
      </c>
      <c r="O38" s="8" t="str">
        <f>TRIM(CLEAN(IF(ISERROR(FIND(O$2,Mail!$A36)),"",MID(Mail!$A36,FIND(O$2,Mail!$A36)+LEN(O$2)+1,IF(ISERROR(FIND("■",Mail!$A36,FIND(O$2,Mail!$A36)+LEN(O$2))-FIND(O$2,Mail!$A36)-LEN(O$2)),LEN(Mail!$A36)-60-FIND(O$2,Mail!$A36)-LEN(O$2),FIND("■",Mail!$A36,FIND(O$2,Mail!$A36)+LEN(O$2))-FIND(O$2,Mail!$A36)-LEN(O$2)-1)))))</f>
        <v/>
      </c>
      <c r="P38" s="8" t="str">
        <f>TRIM(CLEAN(IF(ISERROR(FIND(P$2,Mail!$A36)),"",MID(Mail!$A36,FIND(P$2,Mail!$A36)+LEN(P$2)+1,IF(ISERROR(FIND("■",Mail!$A36,FIND(P$2,Mail!$A36)+LEN(P$2))-FIND(P$2,Mail!$A36)-LEN(P$2)),LEN(Mail!$A36)-60-FIND(P$2,Mail!$A36)-LEN(P$2),FIND("■",Mail!$A36,FIND(P$2,Mail!$A36)+LEN(P$2))-FIND(P$2,Mail!$A36)-LEN(P$2)-1)))))</f>
        <v/>
      </c>
      <c r="Q38" s="8" t="str">
        <f>TRIM(CLEAN(IF(ISERROR(FIND(Q$2,Mail!$A36)),"",MID(Mail!$A36,FIND(Q$2,Mail!$A36)+LEN(Q$2)+1,IF(ISERROR(FIND("■",Mail!$A36,FIND(Q$2,Mail!$A36)+LEN(Q$2))-FIND(Q$2,Mail!$A36)-LEN(Q$2)),LEN(Mail!$A36)-60-FIND(Q$2,Mail!$A36)-LEN(Q$2),FIND("■",Mail!$A36,FIND(Q$2,Mail!$A36)+LEN(Q$2))-FIND(Q$2,Mail!$A36)-LEN(Q$2)-1)))))</f>
        <v/>
      </c>
      <c r="R38" s="8" t="str">
        <f>TRIM(CLEAN(IF(ISERROR(FIND(R$2,Mail!$A36)),"",MID(Mail!$A36,FIND(R$2,Mail!$A36)+LEN(R$2)+1,IF(ISERROR(FIND("■",Mail!$A36,FIND(R$2,Mail!$A36)+LEN(R$2))-FIND(R$2,Mail!$A36)-LEN(R$2)),LEN(Mail!$A36)-60-FIND(R$2,Mail!$A36)-LEN(R$2),FIND("■",Mail!$A36,FIND(R$2,Mail!$A36)+LEN(R$2))-FIND(R$2,Mail!$A36)-LEN(R$2)-1)))))</f>
        <v/>
      </c>
      <c r="S38" s="8" t="str">
        <f>TRIM(CLEAN(IF(ISERROR(FIND(S$2,Mail!$A36)),"",MID(Mail!$A36,FIND(S$2,Mail!$A36)+LEN(S$2)+1,IF(ISERROR(FIND("■",Mail!$A36,FIND(S$2,Mail!$A36)+LEN(S$2))-FIND(S$2,Mail!$A36)-LEN(S$2)),LEN(Mail!$A36)-60-FIND(S$2,Mail!$A36)-LEN(S$2),FIND("■",Mail!$A36,FIND(S$2,Mail!$A36)+LEN(S$2))-FIND(S$2,Mail!$A36)-LEN(S$2)-1)))))</f>
        <v/>
      </c>
      <c r="T38" s="8" t="str">
        <f>TRIM(CLEAN(IF(ISERROR(FIND(T$2,Mail!$A36)),"",MID(Mail!$A36,FIND(T$2,Mail!$A36)+LEN(T$2)+1,IF(ISERROR(FIND("■",Mail!$A36,FIND(T$2,Mail!$A36)+LEN(T$2))-FIND(T$2,Mail!$A36)-LEN(T$2)),LEN(Mail!$A36)-60-FIND(T$2,Mail!$A36)-LEN(T$2),FIND("■",Mail!$A36,FIND(T$2,Mail!$A36)+LEN(T$2))-FIND(T$2,Mail!$A36)-LEN(T$2)-1)))))</f>
        <v/>
      </c>
      <c r="U38" s="8" t="str">
        <f>TRIM(CLEAN(IF(ISERROR(FIND(U$2,Mail!$A36)),"",MID(Mail!$A36,FIND(U$2,Mail!$A36)+LEN(U$2)+1,IF(ISERROR(FIND("■",Mail!$A36,FIND(U$2,Mail!$A36)+LEN(U$2))-FIND(U$2,Mail!$A36)-LEN(U$2)),LEN(Mail!$A36)-60-FIND(U$2,Mail!$A36)-LEN(U$2),FIND("■",Mail!$A36,FIND(U$2,Mail!$A36)+LEN(U$2))-FIND(U$2,Mail!$A36)-LEN(U$2)-1)))))</f>
        <v/>
      </c>
      <c r="V38" s="8" t="str">
        <f>TRIM(CLEAN(IF(ISERROR(FIND(V$2,Mail!$A36)),"",MID(Mail!$A36,FIND(V$2,Mail!$A36)+LEN(V$2)+1,IF(ISERROR(FIND("■",Mail!$A36,FIND(V$2,Mail!$A36)+LEN(V$2))-FIND(V$2,Mail!$A36)-LEN(V$2)),LEN(Mail!$A36)-60-FIND(V$2,Mail!$A36)-LEN(V$2),FIND("■",Mail!$A36,FIND(V$2,Mail!$A36)+LEN(V$2))-FIND(V$2,Mail!$A36)-LEN(V$2)-1)))))</f>
        <v/>
      </c>
      <c r="W38" s="8" t="str">
        <f>TRIM(CLEAN(IF(ISERROR(FIND(W$2,Mail!$A36)),"",MID(Mail!$A36,FIND(W$2,Mail!$A36)+LEN(W$2)+1,IF(ISERROR(FIND("■",Mail!$A36,FIND(W$2,Mail!$A36)+LEN(W$2))-FIND(W$2,Mail!$A36)-LEN(W$2)),LEN(Mail!$A36)-60-FIND(W$2,Mail!$A36)-LEN(W$2),FIND("■",Mail!$A36,FIND(W$2,Mail!$A36)+LEN(W$2))-FIND(W$2,Mail!$A36)-LEN(W$2)-1)))))</f>
        <v/>
      </c>
      <c r="X38" s="8" t="str">
        <f>TRIM(IF(ISERROR(FIND(X$2,Mail!$A36)),"",MID(Mail!$A36,FIND(X$2,Mail!$A36)+LEN(X$2)+1,IF(ISERROR(FIND("■",Mail!$A36,FIND(X$2,Mail!$A36)+LEN(X$2))-FIND(X$2,Mail!$A36)-LEN(X$2)),LEN(Mail!$A36)-60-FIND(X$2,Mail!$A36)-LEN(X$2),FIND("■",Mail!$A36,FIND(X$2,Mail!$A36)+LEN(X$2))-FIND(X$2,Mail!$A36)-LEN(X$2)-1))))</f>
        <v/>
      </c>
      <c r="Y38" s="8" t="str">
        <f>TRIM(CLEAN(IF(ISERROR(FIND(Y$2,Mail!$A36)),"",MID(Mail!$A36,FIND(Y$2,Mail!$A36)+LEN(Y$2)+1,IF(ISERROR(FIND("■",Mail!$A36,FIND(Y$2,Mail!$A36)+LEN(Y$2))-FIND(Y$2,Mail!$A36)-LEN(Y$2)),LEN(Mail!$A36)-60-FIND(Y$2,Mail!$A36)-LEN(Y$2),FIND("■",Mail!$A36,FIND(Y$2,Mail!$A36)+LEN(Y$2))-FIND(Y$2,Mail!$A36)-LEN(Y$2)-1)))))</f>
        <v/>
      </c>
      <c r="Z38" s="8" t="str">
        <f>TRIM(CLEAN(IF(ISERROR(FIND(Z$2,Mail!$A36)),"",MID(Mail!$A36,FIND(Z$2,Mail!$A36)+LEN(Z$2)+1,IF(ISERROR(FIND("■",Mail!$A36,FIND(Z$2,Mail!$A36)+LEN(Z$2))-FIND(Z$2,Mail!$A36)-LEN(Z$2)),LEN(Mail!$A36)-60-FIND(Z$2,Mail!$A36)-LEN(Z$2),FIND("■",Mail!$A36,FIND(Z$2,Mail!$A36)+LEN(Z$2))-FIND(Z$2,Mail!$A36)-LEN(Z$2)-1)))))</f>
        <v/>
      </c>
      <c r="AA38" s="8" t="str">
        <f>TRIM(CLEAN(IF(ISERROR(FIND(AA$2,Mail!$A36)),"",MID(Mail!$A36,FIND(AA$2,Mail!$A36)+LEN(AA$2)+1,IF(ISERROR(FIND("■",Mail!$A36,FIND(AA$2,Mail!$A36)+LEN(AA$2))-FIND(AA$2,Mail!$A36)-LEN(AA$2)),LEN(Mail!$A36)-60-FIND(AA$2,Mail!$A36)-LEN(AA$2),FIND("■",Mail!$A36,FIND(AA$2,Mail!$A36)+LEN(AA$2))-FIND(AA$2,Mail!$A36)-LEN(AA$2)-1)))))</f>
        <v/>
      </c>
      <c r="AB38" s="8" t="str">
        <f>TRIM(CLEAN(IF(ISERROR(FIND(AB$2,Mail!$A36)),"",MID(Mail!$A36,FIND(AB$2,Mail!$A36)+LEN(AB$2)+1,IF(ISERROR(FIND("■",Mail!$A36,FIND(AB$2,Mail!$A36)+LEN(AB$2))-FIND(AB$2,Mail!$A36)-LEN(AB$2)),LEN(Mail!$A36)-60-FIND(AB$2,Mail!$A36)-LEN(AB$2),FIND("■",Mail!$A36,FIND(AB$2,Mail!$A36)+LEN(AB$2))-FIND(AB$2,Mail!$A36)-LEN(AB$2)-1)))))</f>
        <v/>
      </c>
      <c r="AC38" s="8" t="str">
        <f>TRIM(CLEAN(IF(ISERROR(FIND(AC$2,Mail!$A36)),"",MID(Mail!$A36,FIND(AC$2,Mail!$A36)+LEN(AC$2)+1,IF(ISERROR(FIND("■",Mail!$A36,FIND(AC$2,Mail!$A36)+LEN(AC$2))-FIND(AC$2,Mail!$A36)-LEN(AC$2)),LEN(Mail!$A36)-60-FIND(AC$2,Mail!$A36)-LEN(AC$2),FIND("■",Mail!$A36,FIND(AC$2,Mail!$A36)+LEN(AC$2))-FIND(AC$2,Mail!$A36)-LEN(AC$2)-1)))))</f>
        <v/>
      </c>
      <c r="AD38" s="8" t="str">
        <f>TRIM(CLEAN(IF(ISERROR(FIND(AD$2,Mail!$A36)),"",MID(Mail!$A36,FIND(AD$2,Mail!$A36)+LEN(AD$2)+1,IF(ISERROR(FIND("■",Mail!$A36,FIND(AD$2,Mail!$A36)+LEN(AD$2))-FIND(AD$2,Mail!$A36)-LEN(AD$2)),LEN(Mail!$A36)-60-FIND(AD$2,Mail!$A36)-LEN(AD$2),FIND("■",Mail!$A36,FIND(AD$2,Mail!$A36)+LEN(AD$2))-FIND(AD$2,Mail!$A36)-LEN(AD$2)-1)))))</f>
        <v/>
      </c>
      <c r="AE38" s="8" t="str">
        <f>TRIM(CLEAN(IF(ISERROR(FIND(AE$2,Mail!$A36)),"",MID(Mail!$A36,FIND(AE$2,Mail!$A36)+LEN(AE$2)+1,IF(ISERROR(FIND("■",Mail!$A36,FIND(AE$2,Mail!$A36)+LEN(AE$2))-FIND(AE$2,Mail!$A36)-LEN(AE$2)),LEN(Mail!$A36)-60-FIND(AE$2,Mail!$A36)-LEN(AE$2),FIND("■",Mail!$A36,FIND(AE$2,Mail!$A36)+LEN(AE$2))-FIND(AE$2,Mail!$A36)-LEN(AE$2)-1)))))</f>
        <v/>
      </c>
      <c r="AF38" s="8" t="str">
        <f>TRIM(CLEAN(IF(ISERROR(FIND(AF$2,Mail!$A36)),"",MID(Mail!$A36,FIND(AF$2,Mail!$A36)+LEN(AF$2)+1,IF(ISERROR(FIND("■",Mail!$A36,FIND(AF$2,Mail!$A36)+LEN(AF$2))-FIND(AF$2,Mail!$A36)-LEN(AF$2)),LEN(Mail!$A36)-60-FIND(AF$2,Mail!$A36)-LEN(AF$2),FIND("■",Mail!$A36,FIND(AF$2,Mail!$A36)+LEN(AF$2))-FIND(AF$2,Mail!$A36)-LEN(AF$2)-1)))))</f>
        <v/>
      </c>
      <c r="AG38" s="8" t="str">
        <f>TRIM(IF(ISERROR(FIND(AG$2,Mail!$A36)),"",MID(Mail!$A36,FIND(AG$2,Mail!$A36)+LEN(AG$2)+1,IF(ISERROR(FIND("■",Mail!$A36,FIND(AG$2,Mail!$A36)+LEN(AG$2))-FIND(AG$2,Mail!$A36)-LEN(AG$2)),LEN(Mail!$A36)-60-FIND(AG$2,Mail!$A36)-LEN(AG$2),FIND("■",Mail!$A36,FIND(AG$2,Mail!$A36)+LEN(AG$2))-FIND(AG$2,Mail!$A36)-LEN(AG$2)-1))))</f>
        <v/>
      </c>
      <c r="AH38" s="8" t="str">
        <f>TRIM(IF(ISERROR(FIND(AH$2,Mail!$A36)),"",MID(Mail!$A36,FIND(AH$2,Mail!$A36)+LEN(AH$2)+1,IF(ISERROR(FIND("■",Mail!$A36,FIND(AH$2,Mail!$A36)+LEN(AH$2))-FIND(AH$2,Mail!$A36)-LEN(AH$2)),LEN(Mail!$A36)-60-FIND(AH$2,Mail!$A36)-LEN(AH$2),FIND("■",Mail!$A36,FIND(AH$2,Mail!$A36)+LEN(AH$2))-FIND(AH$2,Mail!$A36)-LEN(AH$2)-1))))</f>
        <v/>
      </c>
      <c r="AI38" s="8" t="str">
        <f>TRIM(IF(ISERROR(FIND(AI$2,Mail!$A36)),"",MID(Mail!$A36,FIND(AI$2,Mail!$A36)+LEN(AI$2)+1,IF(ISERROR(FIND("■",Mail!$A36,FIND(AI$2,Mail!$A36)+LEN(AI$2))-FIND(AI$2,Mail!$A36)-LEN(AI$2)),LEN(Mail!$A36)-60-FIND(AI$2,Mail!$A36)-LEN(AI$2),FIND("■",Mail!$A36,FIND(AI$2,Mail!$A36)+LEN(AI$2))-FIND(AI$2,Mail!$A36)-LEN(AI$2)-1))))</f>
        <v/>
      </c>
    </row>
    <row r="39" spans="1:35" s="8" customFormat="1" x14ac:dyDescent="0.15">
      <c r="A39" s="9" t="str">
        <f t="shared" si="1"/>
        <v/>
      </c>
      <c r="B39" s="8" t="str">
        <f>CLEAN(SUBSTITUTE(IF(ISERROR(FIND("yokohama",Mail!$A37)),"",MID(Mail!$A37,FIND("yokohama",Mail!$A37)+LEN("yokohama")+1,FIND("件目",Mail!$A37,FIND("yokohama",Mail!$A37))-(FIND("yokohama",Mail!$A37)+LEN("yokohama")+1)))," ",""))</f>
        <v/>
      </c>
      <c r="C39" s="9" t="str">
        <f t="shared" si="4"/>
        <v/>
      </c>
      <c r="D39" s="9" t="str">
        <f t="shared" si="2"/>
        <v/>
      </c>
      <c r="E39" s="8" t="str">
        <f t="shared" si="3"/>
        <v/>
      </c>
      <c r="F39" s="8" t="str">
        <f>TRIM(CLEAN(IF(ISERROR(FIND(F$2,Mail!$A37)),"",MID(Mail!$A37,FIND(F$2,Mail!$A37)+LEN(F$2)+1,IF(ISERROR(FIND("■",Mail!$A37,FIND(F$2,Mail!$A37)+LEN(F$2))-FIND(F$2,Mail!$A37)-LEN(F$2)),LEN(Mail!$A37)-60-FIND(F$2,Mail!$A37)-LEN(F$2),FIND("■",Mail!$A37,FIND(F$2,Mail!$A37)+LEN(F$2))-FIND(F$2,Mail!$A37)-LEN(F$2)-1)))))</f>
        <v/>
      </c>
      <c r="G39" s="8" t="str">
        <f>TRIM(CLEAN(IF(ISERROR(FIND(G$2,Mail!$A37)),"",MID(Mail!$A37,FIND(G$2,Mail!$A37)+LEN(G$2)+1,IF(ISERROR(FIND("■",Mail!$A37,FIND(G$2,Mail!$A37)+LEN(G$2))-FIND(G$2,Mail!$A37)-LEN(G$2)),LEN(Mail!$A37)-60-FIND(G$2,Mail!$A37)-LEN(G$2),FIND("■",Mail!$A37,FIND(G$2,Mail!$A37)+LEN(G$2))-FIND(G$2,Mail!$A37)-LEN(G$2)-1)))))</f>
        <v/>
      </c>
      <c r="H39" s="8" t="str">
        <f>TRIM(CLEAN(IF(ISERROR(FIND(H$2,Mail!$A37)),"",MID(Mail!$A37,FIND(H$2,Mail!$A37)+LEN(H$2)+1,IF(ISERROR(FIND("■",Mail!$A37,FIND(H$2,Mail!$A37)+LEN(H$2))-FIND(H$2,Mail!$A37)-LEN(H$2)),LEN(Mail!$A37)-60-FIND(H$2,Mail!$A37)-LEN(H$2),FIND("■",Mail!$A37,FIND(H$2,Mail!$A37)+LEN(H$2))-FIND(H$2,Mail!$A37)-LEN(H$2)-1)))))</f>
        <v/>
      </c>
      <c r="I39" s="8" t="str">
        <f>TRIM(CLEAN(IF(ISERROR(FIND(I$2,Mail!$A37)),"",MID(Mail!$A37,FIND(I$2,Mail!$A37)+LEN(I$2)+1,IF(ISERROR(FIND("■",Mail!$A37,FIND(I$2,Mail!$A37)+LEN(I$2))-FIND(I$2,Mail!$A37)-LEN(I$2)),LEN(Mail!$A37)-60-FIND(I$2,Mail!$A37)-LEN(I$2),FIND("■",Mail!$A37,FIND(I$2,Mail!$A37)+LEN(I$2))-FIND(I$2,Mail!$A37)-LEN(I$2)-1)))))</f>
        <v/>
      </c>
      <c r="J39" s="8" t="str">
        <f>TRIM(IF(ISERROR(FIND(J$2,Mail!$A37)),"",MID(Mail!$A37,FIND(J$2,Mail!$A37)+LEN(J$2)+1,IF(ISERROR(FIND("■",Mail!$A37,FIND(J$2,Mail!$A37)+LEN(J$2))-FIND(J$2,Mail!$A37)-LEN(J$2)),LEN(Mail!$A37)-60-FIND(J$2,Mail!$A37)-LEN(J$2),FIND("■",Mail!$A37,FIND(J$2,Mail!$A37)+LEN(J$2))-FIND(J$2,Mail!$A37)-LEN(J$2)-1))))</f>
        <v/>
      </c>
      <c r="K39" s="8" t="str">
        <f>TRIM(IF(ISERROR(FIND(K$2,Mail!$A37)),"",MID(Mail!$A37,FIND(K$2,Mail!$A37)+LEN(K$2)+1,IF(ISERROR(FIND("■",Mail!$A37,FIND(K$2,Mail!$A37)+LEN(K$2))-FIND(K$2,Mail!$A37)-LEN(K$2)),LEN(Mail!$A37)-60-FIND(K$2,Mail!$A37)-LEN(K$2),FIND("■",Mail!$A37,FIND(K$2,Mail!$A37)+LEN(K$2))-FIND(K$2,Mail!$A37)-LEN(K$2)-1))))</f>
        <v/>
      </c>
      <c r="L39" s="8" t="str">
        <f>TRIM(IF(ISERROR(FIND(L$2,Mail!$A37)),"",MID(Mail!$A37,FIND(L$2,Mail!$A37)+LEN(L$2)+1,IF(ISERROR(FIND("■",Mail!$A37,FIND(L$2,Mail!$A37)+LEN(L$2))-FIND(L$2,Mail!$A37)-LEN(L$2)),LEN(Mail!$A37)-60-FIND(L$2,Mail!$A37)-LEN(L$2),FIND("■",Mail!$A37,FIND(L$2,Mail!$A37)+LEN(L$2))-FIND(L$2,Mail!$A37)-LEN(L$2)-1))))</f>
        <v/>
      </c>
      <c r="M39" s="8" t="str">
        <f>TRIM(CLEAN(IF(ISERROR(FIND(M$2,Mail!$A37)),"",MID(Mail!$A37,FIND(M$2,Mail!$A37)+LEN(M$2)+1,IF(ISERROR(FIND("■",Mail!$A37,FIND(M$2,Mail!$A37)+LEN(M$2))-FIND(M$2,Mail!$A37)-LEN(M$2)),LEN(Mail!$A37)-60-FIND(M$2,Mail!$A37)-LEN(M$2),FIND("■",Mail!$A37,FIND(M$2,Mail!$A37)+LEN(M$2))-FIND(M$2,Mail!$A37)-LEN(M$2)-1)))))</f>
        <v/>
      </c>
      <c r="N39" s="8" t="str">
        <f>TRIM(CLEAN(IF(ISERROR(FIND(N$2,Mail!$A37)),"",MID(Mail!$A37,FIND(N$2,Mail!$A37)+LEN(N$2)+1,IF(ISERROR(FIND("■",Mail!$A37,FIND(N$2,Mail!$A37)+LEN(N$2))-FIND(N$2,Mail!$A37)-LEN(N$2)),LEN(Mail!$A37)-60-FIND(N$2,Mail!$A37)-LEN(N$2),FIND("■",Mail!$A37,FIND(N$2,Mail!$A37)+LEN(N$2))-FIND(N$2,Mail!$A37)-LEN(N$2)-1)))))</f>
        <v/>
      </c>
      <c r="O39" s="8" t="str">
        <f>TRIM(CLEAN(IF(ISERROR(FIND(O$2,Mail!$A37)),"",MID(Mail!$A37,FIND(O$2,Mail!$A37)+LEN(O$2)+1,IF(ISERROR(FIND("■",Mail!$A37,FIND(O$2,Mail!$A37)+LEN(O$2))-FIND(O$2,Mail!$A37)-LEN(O$2)),LEN(Mail!$A37)-60-FIND(O$2,Mail!$A37)-LEN(O$2),FIND("■",Mail!$A37,FIND(O$2,Mail!$A37)+LEN(O$2))-FIND(O$2,Mail!$A37)-LEN(O$2)-1)))))</f>
        <v/>
      </c>
      <c r="P39" s="8" t="str">
        <f>TRIM(CLEAN(IF(ISERROR(FIND(P$2,Mail!$A37)),"",MID(Mail!$A37,FIND(P$2,Mail!$A37)+LEN(P$2)+1,IF(ISERROR(FIND("■",Mail!$A37,FIND(P$2,Mail!$A37)+LEN(P$2))-FIND(P$2,Mail!$A37)-LEN(P$2)),LEN(Mail!$A37)-60-FIND(P$2,Mail!$A37)-LEN(P$2),FIND("■",Mail!$A37,FIND(P$2,Mail!$A37)+LEN(P$2))-FIND(P$2,Mail!$A37)-LEN(P$2)-1)))))</f>
        <v/>
      </c>
      <c r="Q39" s="8" t="str">
        <f>TRIM(CLEAN(IF(ISERROR(FIND(Q$2,Mail!$A37)),"",MID(Mail!$A37,FIND(Q$2,Mail!$A37)+LEN(Q$2)+1,IF(ISERROR(FIND("■",Mail!$A37,FIND(Q$2,Mail!$A37)+LEN(Q$2))-FIND(Q$2,Mail!$A37)-LEN(Q$2)),LEN(Mail!$A37)-60-FIND(Q$2,Mail!$A37)-LEN(Q$2),FIND("■",Mail!$A37,FIND(Q$2,Mail!$A37)+LEN(Q$2))-FIND(Q$2,Mail!$A37)-LEN(Q$2)-1)))))</f>
        <v/>
      </c>
      <c r="R39" s="8" t="str">
        <f>TRIM(CLEAN(IF(ISERROR(FIND(R$2,Mail!$A37)),"",MID(Mail!$A37,FIND(R$2,Mail!$A37)+LEN(R$2)+1,IF(ISERROR(FIND("■",Mail!$A37,FIND(R$2,Mail!$A37)+LEN(R$2))-FIND(R$2,Mail!$A37)-LEN(R$2)),LEN(Mail!$A37)-60-FIND(R$2,Mail!$A37)-LEN(R$2),FIND("■",Mail!$A37,FIND(R$2,Mail!$A37)+LEN(R$2))-FIND(R$2,Mail!$A37)-LEN(R$2)-1)))))</f>
        <v/>
      </c>
      <c r="S39" s="8" t="str">
        <f>TRIM(CLEAN(IF(ISERROR(FIND(S$2,Mail!$A37)),"",MID(Mail!$A37,FIND(S$2,Mail!$A37)+LEN(S$2)+1,IF(ISERROR(FIND("■",Mail!$A37,FIND(S$2,Mail!$A37)+LEN(S$2))-FIND(S$2,Mail!$A37)-LEN(S$2)),LEN(Mail!$A37)-60-FIND(S$2,Mail!$A37)-LEN(S$2),FIND("■",Mail!$A37,FIND(S$2,Mail!$A37)+LEN(S$2))-FIND(S$2,Mail!$A37)-LEN(S$2)-1)))))</f>
        <v/>
      </c>
      <c r="T39" s="8" t="str">
        <f>TRIM(CLEAN(IF(ISERROR(FIND(T$2,Mail!$A37)),"",MID(Mail!$A37,FIND(T$2,Mail!$A37)+LEN(T$2)+1,IF(ISERROR(FIND("■",Mail!$A37,FIND(T$2,Mail!$A37)+LEN(T$2))-FIND(T$2,Mail!$A37)-LEN(T$2)),LEN(Mail!$A37)-60-FIND(T$2,Mail!$A37)-LEN(T$2),FIND("■",Mail!$A37,FIND(T$2,Mail!$A37)+LEN(T$2))-FIND(T$2,Mail!$A37)-LEN(T$2)-1)))))</f>
        <v/>
      </c>
      <c r="U39" s="8" t="str">
        <f>TRIM(CLEAN(IF(ISERROR(FIND(U$2,Mail!$A37)),"",MID(Mail!$A37,FIND(U$2,Mail!$A37)+LEN(U$2)+1,IF(ISERROR(FIND("■",Mail!$A37,FIND(U$2,Mail!$A37)+LEN(U$2))-FIND(U$2,Mail!$A37)-LEN(U$2)),LEN(Mail!$A37)-60-FIND(U$2,Mail!$A37)-LEN(U$2),FIND("■",Mail!$A37,FIND(U$2,Mail!$A37)+LEN(U$2))-FIND(U$2,Mail!$A37)-LEN(U$2)-1)))))</f>
        <v/>
      </c>
      <c r="V39" s="8" t="str">
        <f>TRIM(CLEAN(IF(ISERROR(FIND(V$2,Mail!$A37)),"",MID(Mail!$A37,FIND(V$2,Mail!$A37)+LEN(V$2)+1,IF(ISERROR(FIND("■",Mail!$A37,FIND(V$2,Mail!$A37)+LEN(V$2))-FIND(V$2,Mail!$A37)-LEN(V$2)),LEN(Mail!$A37)-60-FIND(V$2,Mail!$A37)-LEN(V$2),FIND("■",Mail!$A37,FIND(V$2,Mail!$A37)+LEN(V$2))-FIND(V$2,Mail!$A37)-LEN(V$2)-1)))))</f>
        <v/>
      </c>
      <c r="W39" s="8" t="str">
        <f>TRIM(CLEAN(IF(ISERROR(FIND(W$2,Mail!$A37)),"",MID(Mail!$A37,FIND(W$2,Mail!$A37)+LEN(W$2)+1,IF(ISERROR(FIND("■",Mail!$A37,FIND(W$2,Mail!$A37)+LEN(W$2))-FIND(W$2,Mail!$A37)-LEN(W$2)),LEN(Mail!$A37)-60-FIND(W$2,Mail!$A37)-LEN(W$2),FIND("■",Mail!$A37,FIND(W$2,Mail!$A37)+LEN(W$2))-FIND(W$2,Mail!$A37)-LEN(W$2)-1)))))</f>
        <v/>
      </c>
      <c r="X39" s="8" t="str">
        <f>TRIM(IF(ISERROR(FIND(X$2,Mail!$A37)),"",MID(Mail!$A37,FIND(X$2,Mail!$A37)+LEN(X$2)+1,IF(ISERROR(FIND("■",Mail!$A37,FIND(X$2,Mail!$A37)+LEN(X$2))-FIND(X$2,Mail!$A37)-LEN(X$2)),LEN(Mail!$A37)-60-FIND(X$2,Mail!$A37)-LEN(X$2),FIND("■",Mail!$A37,FIND(X$2,Mail!$A37)+LEN(X$2))-FIND(X$2,Mail!$A37)-LEN(X$2)-1))))</f>
        <v/>
      </c>
      <c r="Y39" s="8" t="str">
        <f>TRIM(CLEAN(IF(ISERROR(FIND(Y$2,Mail!$A37)),"",MID(Mail!$A37,FIND(Y$2,Mail!$A37)+LEN(Y$2)+1,IF(ISERROR(FIND("■",Mail!$A37,FIND(Y$2,Mail!$A37)+LEN(Y$2))-FIND(Y$2,Mail!$A37)-LEN(Y$2)),LEN(Mail!$A37)-60-FIND(Y$2,Mail!$A37)-LEN(Y$2),FIND("■",Mail!$A37,FIND(Y$2,Mail!$A37)+LEN(Y$2))-FIND(Y$2,Mail!$A37)-LEN(Y$2)-1)))))</f>
        <v/>
      </c>
      <c r="Z39" s="8" t="str">
        <f>TRIM(CLEAN(IF(ISERROR(FIND(Z$2,Mail!$A37)),"",MID(Mail!$A37,FIND(Z$2,Mail!$A37)+LEN(Z$2)+1,IF(ISERROR(FIND("■",Mail!$A37,FIND(Z$2,Mail!$A37)+LEN(Z$2))-FIND(Z$2,Mail!$A37)-LEN(Z$2)),LEN(Mail!$A37)-60-FIND(Z$2,Mail!$A37)-LEN(Z$2),FIND("■",Mail!$A37,FIND(Z$2,Mail!$A37)+LEN(Z$2))-FIND(Z$2,Mail!$A37)-LEN(Z$2)-1)))))</f>
        <v/>
      </c>
      <c r="AA39" s="8" t="str">
        <f>TRIM(CLEAN(IF(ISERROR(FIND(AA$2,Mail!$A37)),"",MID(Mail!$A37,FIND(AA$2,Mail!$A37)+LEN(AA$2)+1,IF(ISERROR(FIND("■",Mail!$A37,FIND(AA$2,Mail!$A37)+LEN(AA$2))-FIND(AA$2,Mail!$A37)-LEN(AA$2)),LEN(Mail!$A37)-60-FIND(AA$2,Mail!$A37)-LEN(AA$2),FIND("■",Mail!$A37,FIND(AA$2,Mail!$A37)+LEN(AA$2))-FIND(AA$2,Mail!$A37)-LEN(AA$2)-1)))))</f>
        <v/>
      </c>
      <c r="AB39" s="8" t="str">
        <f>TRIM(CLEAN(IF(ISERROR(FIND(AB$2,Mail!$A37)),"",MID(Mail!$A37,FIND(AB$2,Mail!$A37)+LEN(AB$2)+1,IF(ISERROR(FIND("■",Mail!$A37,FIND(AB$2,Mail!$A37)+LEN(AB$2))-FIND(AB$2,Mail!$A37)-LEN(AB$2)),LEN(Mail!$A37)-60-FIND(AB$2,Mail!$A37)-LEN(AB$2),FIND("■",Mail!$A37,FIND(AB$2,Mail!$A37)+LEN(AB$2))-FIND(AB$2,Mail!$A37)-LEN(AB$2)-1)))))</f>
        <v/>
      </c>
      <c r="AC39" s="8" t="str">
        <f>TRIM(CLEAN(IF(ISERROR(FIND(AC$2,Mail!$A37)),"",MID(Mail!$A37,FIND(AC$2,Mail!$A37)+LEN(AC$2)+1,IF(ISERROR(FIND("■",Mail!$A37,FIND(AC$2,Mail!$A37)+LEN(AC$2))-FIND(AC$2,Mail!$A37)-LEN(AC$2)),LEN(Mail!$A37)-60-FIND(AC$2,Mail!$A37)-LEN(AC$2),FIND("■",Mail!$A37,FIND(AC$2,Mail!$A37)+LEN(AC$2))-FIND(AC$2,Mail!$A37)-LEN(AC$2)-1)))))</f>
        <v/>
      </c>
      <c r="AD39" s="8" t="str">
        <f>TRIM(CLEAN(IF(ISERROR(FIND(AD$2,Mail!$A37)),"",MID(Mail!$A37,FIND(AD$2,Mail!$A37)+LEN(AD$2)+1,IF(ISERROR(FIND("■",Mail!$A37,FIND(AD$2,Mail!$A37)+LEN(AD$2))-FIND(AD$2,Mail!$A37)-LEN(AD$2)),LEN(Mail!$A37)-60-FIND(AD$2,Mail!$A37)-LEN(AD$2),FIND("■",Mail!$A37,FIND(AD$2,Mail!$A37)+LEN(AD$2))-FIND(AD$2,Mail!$A37)-LEN(AD$2)-1)))))</f>
        <v/>
      </c>
      <c r="AE39" s="8" t="str">
        <f>TRIM(CLEAN(IF(ISERROR(FIND(AE$2,Mail!$A37)),"",MID(Mail!$A37,FIND(AE$2,Mail!$A37)+LEN(AE$2)+1,IF(ISERROR(FIND("■",Mail!$A37,FIND(AE$2,Mail!$A37)+LEN(AE$2))-FIND(AE$2,Mail!$A37)-LEN(AE$2)),LEN(Mail!$A37)-60-FIND(AE$2,Mail!$A37)-LEN(AE$2),FIND("■",Mail!$A37,FIND(AE$2,Mail!$A37)+LEN(AE$2))-FIND(AE$2,Mail!$A37)-LEN(AE$2)-1)))))</f>
        <v/>
      </c>
      <c r="AF39" s="8" t="str">
        <f>TRIM(CLEAN(IF(ISERROR(FIND(AF$2,Mail!$A37)),"",MID(Mail!$A37,FIND(AF$2,Mail!$A37)+LEN(AF$2)+1,IF(ISERROR(FIND("■",Mail!$A37,FIND(AF$2,Mail!$A37)+LEN(AF$2))-FIND(AF$2,Mail!$A37)-LEN(AF$2)),LEN(Mail!$A37)-60-FIND(AF$2,Mail!$A37)-LEN(AF$2),FIND("■",Mail!$A37,FIND(AF$2,Mail!$A37)+LEN(AF$2))-FIND(AF$2,Mail!$A37)-LEN(AF$2)-1)))))</f>
        <v/>
      </c>
      <c r="AG39" s="8" t="str">
        <f>TRIM(IF(ISERROR(FIND(AG$2,Mail!$A37)),"",MID(Mail!$A37,FIND(AG$2,Mail!$A37)+LEN(AG$2)+1,IF(ISERROR(FIND("■",Mail!$A37,FIND(AG$2,Mail!$A37)+LEN(AG$2))-FIND(AG$2,Mail!$A37)-LEN(AG$2)),LEN(Mail!$A37)-60-FIND(AG$2,Mail!$A37)-LEN(AG$2),FIND("■",Mail!$A37,FIND(AG$2,Mail!$A37)+LEN(AG$2))-FIND(AG$2,Mail!$A37)-LEN(AG$2)-1))))</f>
        <v/>
      </c>
      <c r="AH39" s="8" t="str">
        <f>TRIM(IF(ISERROR(FIND(AH$2,Mail!$A37)),"",MID(Mail!$A37,FIND(AH$2,Mail!$A37)+LEN(AH$2)+1,IF(ISERROR(FIND("■",Mail!$A37,FIND(AH$2,Mail!$A37)+LEN(AH$2))-FIND(AH$2,Mail!$A37)-LEN(AH$2)),LEN(Mail!$A37)-60-FIND(AH$2,Mail!$A37)-LEN(AH$2),FIND("■",Mail!$A37,FIND(AH$2,Mail!$A37)+LEN(AH$2))-FIND(AH$2,Mail!$A37)-LEN(AH$2)-1))))</f>
        <v/>
      </c>
      <c r="AI39" s="8" t="str">
        <f>TRIM(IF(ISERROR(FIND(AI$2,Mail!$A37)),"",MID(Mail!$A37,FIND(AI$2,Mail!$A37)+LEN(AI$2)+1,IF(ISERROR(FIND("■",Mail!$A37,FIND(AI$2,Mail!$A37)+LEN(AI$2))-FIND(AI$2,Mail!$A37)-LEN(AI$2)),LEN(Mail!$A37)-60-FIND(AI$2,Mail!$A37)-LEN(AI$2),FIND("■",Mail!$A37,FIND(AI$2,Mail!$A37)+LEN(AI$2))-FIND(AI$2,Mail!$A37)-LEN(AI$2)-1))))</f>
        <v/>
      </c>
    </row>
    <row r="40" spans="1:35" s="8" customFormat="1" x14ac:dyDescent="0.15">
      <c r="A40" s="9" t="str">
        <f t="shared" si="1"/>
        <v/>
      </c>
      <c r="B40" s="8" t="str">
        <f>CLEAN(SUBSTITUTE(IF(ISERROR(FIND("yokohama",Mail!$A38)),"",MID(Mail!$A38,FIND("yokohama",Mail!$A38)+LEN("yokohama")+1,FIND("件目",Mail!$A38,FIND("yokohama",Mail!$A38))-(FIND("yokohama",Mail!$A38)+LEN("yokohama")+1)))," ",""))</f>
        <v/>
      </c>
      <c r="C40" s="9" t="str">
        <f t="shared" si="4"/>
        <v/>
      </c>
      <c r="D40" s="9" t="str">
        <f t="shared" si="2"/>
        <v/>
      </c>
      <c r="E40" s="8" t="str">
        <f t="shared" si="3"/>
        <v/>
      </c>
      <c r="F40" s="8" t="str">
        <f>TRIM(CLEAN(IF(ISERROR(FIND(F$2,Mail!$A38)),"",MID(Mail!$A38,FIND(F$2,Mail!$A38)+LEN(F$2)+1,IF(ISERROR(FIND("■",Mail!$A38,FIND(F$2,Mail!$A38)+LEN(F$2))-FIND(F$2,Mail!$A38)-LEN(F$2)),LEN(Mail!$A38)-60-FIND(F$2,Mail!$A38)-LEN(F$2),FIND("■",Mail!$A38,FIND(F$2,Mail!$A38)+LEN(F$2))-FIND(F$2,Mail!$A38)-LEN(F$2)-1)))))</f>
        <v/>
      </c>
      <c r="G40" s="8" t="str">
        <f>TRIM(CLEAN(IF(ISERROR(FIND(G$2,Mail!$A38)),"",MID(Mail!$A38,FIND(G$2,Mail!$A38)+LEN(G$2)+1,IF(ISERROR(FIND("■",Mail!$A38,FIND(G$2,Mail!$A38)+LEN(G$2))-FIND(G$2,Mail!$A38)-LEN(G$2)),LEN(Mail!$A38)-60-FIND(G$2,Mail!$A38)-LEN(G$2),FIND("■",Mail!$A38,FIND(G$2,Mail!$A38)+LEN(G$2))-FIND(G$2,Mail!$A38)-LEN(G$2)-1)))))</f>
        <v/>
      </c>
      <c r="H40" s="8" t="str">
        <f>TRIM(CLEAN(IF(ISERROR(FIND(H$2,Mail!$A38)),"",MID(Mail!$A38,FIND(H$2,Mail!$A38)+LEN(H$2)+1,IF(ISERROR(FIND("■",Mail!$A38,FIND(H$2,Mail!$A38)+LEN(H$2))-FIND(H$2,Mail!$A38)-LEN(H$2)),LEN(Mail!$A38)-60-FIND(H$2,Mail!$A38)-LEN(H$2),FIND("■",Mail!$A38,FIND(H$2,Mail!$A38)+LEN(H$2))-FIND(H$2,Mail!$A38)-LEN(H$2)-1)))))</f>
        <v/>
      </c>
      <c r="I40" s="8" t="str">
        <f>TRIM(CLEAN(IF(ISERROR(FIND(I$2,Mail!$A38)),"",MID(Mail!$A38,FIND(I$2,Mail!$A38)+LEN(I$2)+1,IF(ISERROR(FIND("■",Mail!$A38,FIND(I$2,Mail!$A38)+LEN(I$2))-FIND(I$2,Mail!$A38)-LEN(I$2)),LEN(Mail!$A38)-60-FIND(I$2,Mail!$A38)-LEN(I$2),FIND("■",Mail!$A38,FIND(I$2,Mail!$A38)+LEN(I$2))-FIND(I$2,Mail!$A38)-LEN(I$2)-1)))))</f>
        <v/>
      </c>
      <c r="J40" s="8" t="str">
        <f>TRIM(IF(ISERROR(FIND(J$2,Mail!$A38)),"",MID(Mail!$A38,FIND(J$2,Mail!$A38)+LEN(J$2)+1,IF(ISERROR(FIND("■",Mail!$A38,FIND(J$2,Mail!$A38)+LEN(J$2))-FIND(J$2,Mail!$A38)-LEN(J$2)),LEN(Mail!$A38)-60-FIND(J$2,Mail!$A38)-LEN(J$2),FIND("■",Mail!$A38,FIND(J$2,Mail!$A38)+LEN(J$2))-FIND(J$2,Mail!$A38)-LEN(J$2)-1))))</f>
        <v/>
      </c>
      <c r="K40" s="8" t="str">
        <f>TRIM(IF(ISERROR(FIND(K$2,Mail!$A38)),"",MID(Mail!$A38,FIND(K$2,Mail!$A38)+LEN(K$2)+1,IF(ISERROR(FIND("■",Mail!$A38,FIND(K$2,Mail!$A38)+LEN(K$2))-FIND(K$2,Mail!$A38)-LEN(K$2)),LEN(Mail!$A38)-60-FIND(K$2,Mail!$A38)-LEN(K$2),FIND("■",Mail!$A38,FIND(K$2,Mail!$A38)+LEN(K$2))-FIND(K$2,Mail!$A38)-LEN(K$2)-1))))</f>
        <v/>
      </c>
      <c r="L40" s="8" t="str">
        <f>TRIM(IF(ISERROR(FIND(L$2,Mail!$A38)),"",MID(Mail!$A38,FIND(L$2,Mail!$A38)+LEN(L$2)+1,IF(ISERROR(FIND("■",Mail!$A38,FIND(L$2,Mail!$A38)+LEN(L$2))-FIND(L$2,Mail!$A38)-LEN(L$2)),LEN(Mail!$A38)-60-FIND(L$2,Mail!$A38)-LEN(L$2),FIND("■",Mail!$A38,FIND(L$2,Mail!$A38)+LEN(L$2))-FIND(L$2,Mail!$A38)-LEN(L$2)-1))))</f>
        <v/>
      </c>
      <c r="M40" s="8" t="str">
        <f>TRIM(CLEAN(IF(ISERROR(FIND(M$2,Mail!$A38)),"",MID(Mail!$A38,FIND(M$2,Mail!$A38)+LEN(M$2)+1,IF(ISERROR(FIND("■",Mail!$A38,FIND(M$2,Mail!$A38)+LEN(M$2))-FIND(M$2,Mail!$A38)-LEN(M$2)),LEN(Mail!$A38)-60-FIND(M$2,Mail!$A38)-LEN(M$2),FIND("■",Mail!$A38,FIND(M$2,Mail!$A38)+LEN(M$2))-FIND(M$2,Mail!$A38)-LEN(M$2)-1)))))</f>
        <v/>
      </c>
      <c r="N40" s="8" t="str">
        <f>TRIM(CLEAN(IF(ISERROR(FIND(N$2,Mail!$A38)),"",MID(Mail!$A38,FIND(N$2,Mail!$A38)+LEN(N$2)+1,IF(ISERROR(FIND("■",Mail!$A38,FIND(N$2,Mail!$A38)+LEN(N$2))-FIND(N$2,Mail!$A38)-LEN(N$2)),LEN(Mail!$A38)-60-FIND(N$2,Mail!$A38)-LEN(N$2),FIND("■",Mail!$A38,FIND(N$2,Mail!$A38)+LEN(N$2))-FIND(N$2,Mail!$A38)-LEN(N$2)-1)))))</f>
        <v/>
      </c>
      <c r="O40" s="8" t="str">
        <f>TRIM(CLEAN(IF(ISERROR(FIND(O$2,Mail!$A38)),"",MID(Mail!$A38,FIND(O$2,Mail!$A38)+LEN(O$2)+1,IF(ISERROR(FIND("■",Mail!$A38,FIND(O$2,Mail!$A38)+LEN(O$2))-FIND(O$2,Mail!$A38)-LEN(O$2)),LEN(Mail!$A38)-60-FIND(O$2,Mail!$A38)-LEN(O$2),FIND("■",Mail!$A38,FIND(O$2,Mail!$A38)+LEN(O$2))-FIND(O$2,Mail!$A38)-LEN(O$2)-1)))))</f>
        <v/>
      </c>
      <c r="P40" s="8" t="str">
        <f>TRIM(CLEAN(IF(ISERROR(FIND(P$2,Mail!$A38)),"",MID(Mail!$A38,FIND(P$2,Mail!$A38)+LEN(P$2)+1,IF(ISERROR(FIND("■",Mail!$A38,FIND(P$2,Mail!$A38)+LEN(P$2))-FIND(P$2,Mail!$A38)-LEN(P$2)),LEN(Mail!$A38)-60-FIND(P$2,Mail!$A38)-LEN(P$2),FIND("■",Mail!$A38,FIND(P$2,Mail!$A38)+LEN(P$2))-FIND(P$2,Mail!$A38)-LEN(P$2)-1)))))</f>
        <v/>
      </c>
      <c r="Q40" s="8" t="str">
        <f>TRIM(CLEAN(IF(ISERROR(FIND(Q$2,Mail!$A38)),"",MID(Mail!$A38,FIND(Q$2,Mail!$A38)+LEN(Q$2)+1,IF(ISERROR(FIND("■",Mail!$A38,FIND(Q$2,Mail!$A38)+LEN(Q$2))-FIND(Q$2,Mail!$A38)-LEN(Q$2)),LEN(Mail!$A38)-60-FIND(Q$2,Mail!$A38)-LEN(Q$2),FIND("■",Mail!$A38,FIND(Q$2,Mail!$A38)+LEN(Q$2))-FIND(Q$2,Mail!$A38)-LEN(Q$2)-1)))))</f>
        <v/>
      </c>
      <c r="R40" s="8" t="str">
        <f>TRIM(CLEAN(IF(ISERROR(FIND(R$2,Mail!$A38)),"",MID(Mail!$A38,FIND(R$2,Mail!$A38)+LEN(R$2)+1,IF(ISERROR(FIND("■",Mail!$A38,FIND(R$2,Mail!$A38)+LEN(R$2))-FIND(R$2,Mail!$A38)-LEN(R$2)),LEN(Mail!$A38)-60-FIND(R$2,Mail!$A38)-LEN(R$2),FIND("■",Mail!$A38,FIND(R$2,Mail!$A38)+LEN(R$2))-FIND(R$2,Mail!$A38)-LEN(R$2)-1)))))</f>
        <v/>
      </c>
      <c r="S40" s="8" t="str">
        <f>TRIM(CLEAN(IF(ISERROR(FIND(S$2,Mail!$A38)),"",MID(Mail!$A38,FIND(S$2,Mail!$A38)+LEN(S$2)+1,IF(ISERROR(FIND("■",Mail!$A38,FIND(S$2,Mail!$A38)+LEN(S$2))-FIND(S$2,Mail!$A38)-LEN(S$2)),LEN(Mail!$A38)-60-FIND(S$2,Mail!$A38)-LEN(S$2),FIND("■",Mail!$A38,FIND(S$2,Mail!$A38)+LEN(S$2))-FIND(S$2,Mail!$A38)-LEN(S$2)-1)))))</f>
        <v/>
      </c>
      <c r="T40" s="8" t="str">
        <f>TRIM(CLEAN(IF(ISERROR(FIND(T$2,Mail!$A38)),"",MID(Mail!$A38,FIND(T$2,Mail!$A38)+LEN(T$2)+1,IF(ISERROR(FIND("■",Mail!$A38,FIND(T$2,Mail!$A38)+LEN(T$2))-FIND(T$2,Mail!$A38)-LEN(T$2)),LEN(Mail!$A38)-60-FIND(T$2,Mail!$A38)-LEN(T$2),FIND("■",Mail!$A38,FIND(T$2,Mail!$A38)+LEN(T$2))-FIND(T$2,Mail!$A38)-LEN(T$2)-1)))))</f>
        <v/>
      </c>
      <c r="U40" s="8" t="str">
        <f>TRIM(CLEAN(IF(ISERROR(FIND(U$2,Mail!$A38)),"",MID(Mail!$A38,FIND(U$2,Mail!$A38)+LEN(U$2)+1,IF(ISERROR(FIND("■",Mail!$A38,FIND(U$2,Mail!$A38)+LEN(U$2))-FIND(U$2,Mail!$A38)-LEN(U$2)),LEN(Mail!$A38)-60-FIND(U$2,Mail!$A38)-LEN(U$2),FIND("■",Mail!$A38,FIND(U$2,Mail!$A38)+LEN(U$2))-FIND(U$2,Mail!$A38)-LEN(U$2)-1)))))</f>
        <v/>
      </c>
      <c r="V40" s="8" t="str">
        <f>TRIM(CLEAN(IF(ISERROR(FIND(V$2,Mail!$A38)),"",MID(Mail!$A38,FIND(V$2,Mail!$A38)+LEN(V$2)+1,IF(ISERROR(FIND("■",Mail!$A38,FIND(V$2,Mail!$A38)+LEN(V$2))-FIND(V$2,Mail!$A38)-LEN(V$2)),LEN(Mail!$A38)-60-FIND(V$2,Mail!$A38)-LEN(V$2),FIND("■",Mail!$A38,FIND(V$2,Mail!$A38)+LEN(V$2))-FIND(V$2,Mail!$A38)-LEN(V$2)-1)))))</f>
        <v/>
      </c>
      <c r="W40" s="8" t="str">
        <f>TRIM(CLEAN(IF(ISERROR(FIND(W$2,Mail!$A38)),"",MID(Mail!$A38,FIND(W$2,Mail!$A38)+LEN(W$2)+1,IF(ISERROR(FIND("■",Mail!$A38,FIND(W$2,Mail!$A38)+LEN(W$2))-FIND(W$2,Mail!$A38)-LEN(W$2)),LEN(Mail!$A38)-60-FIND(W$2,Mail!$A38)-LEN(W$2),FIND("■",Mail!$A38,FIND(W$2,Mail!$A38)+LEN(W$2))-FIND(W$2,Mail!$A38)-LEN(W$2)-1)))))</f>
        <v/>
      </c>
      <c r="X40" s="8" t="str">
        <f>TRIM(IF(ISERROR(FIND(X$2,Mail!$A38)),"",MID(Mail!$A38,FIND(X$2,Mail!$A38)+LEN(X$2)+1,IF(ISERROR(FIND("■",Mail!$A38,FIND(X$2,Mail!$A38)+LEN(X$2))-FIND(X$2,Mail!$A38)-LEN(X$2)),LEN(Mail!$A38)-60-FIND(X$2,Mail!$A38)-LEN(X$2),FIND("■",Mail!$A38,FIND(X$2,Mail!$A38)+LEN(X$2))-FIND(X$2,Mail!$A38)-LEN(X$2)-1))))</f>
        <v/>
      </c>
      <c r="Y40" s="8" t="str">
        <f>TRIM(CLEAN(IF(ISERROR(FIND(Y$2,Mail!$A38)),"",MID(Mail!$A38,FIND(Y$2,Mail!$A38)+LEN(Y$2)+1,IF(ISERROR(FIND("■",Mail!$A38,FIND(Y$2,Mail!$A38)+LEN(Y$2))-FIND(Y$2,Mail!$A38)-LEN(Y$2)),LEN(Mail!$A38)-60-FIND(Y$2,Mail!$A38)-LEN(Y$2),FIND("■",Mail!$A38,FIND(Y$2,Mail!$A38)+LEN(Y$2))-FIND(Y$2,Mail!$A38)-LEN(Y$2)-1)))))</f>
        <v/>
      </c>
      <c r="Z40" s="8" t="str">
        <f>TRIM(CLEAN(IF(ISERROR(FIND(Z$2,Mail!$A38)),"",MID(Mail!$A38,FIND(Z$2,Mail!$A38)+LEN(Z$2)+1,IF(ISERROR(FIND("■",Mail!$A38,FIND(Z$2,Mail!$A38)+LEN(Z$2))-FIND(Z$2,Mail!$A38)-LEN(Z$2)),LEN(Mail!$A38)-60-FIND(Z$2,Mail!$A38)-LEN(Z$2),FIND("■",Mail!$A38,FIND(Z$2,Mail!$A38)+LEN(Z$2))-FIND(Z$2,Mail!$A38)-LEN(Z$2)-1)))))</f>
        <v/>
      </c>
      <c r="AA40" s="8" t="str">
        <f>TRIM(CLEAN(IF(ISERROR(FIND(AA$2,Mail!$A38)),"",MID(Mail!$A38,FIND(AA$2,Mail!$A38)+LEN(AA$2)+1,IF(ISERROR(FIND("■",Mail!$A38,FIND(AA$2,Mail!$A38)+LEN(AA$2))-FIND(AA$2,Mail!$A38)-LEN(AA$2)),LEN(Mail!$A38)-60-FIND(AA$2,Mail!$A38)-LEN(AA$2),FIND("■",Mail!$A38,FIND(AA$2,Mail!$A38)+LEN(AA$2))-FIND(AA$2,Mail!$A38)-LEN(AA$2)-1)))))</f>
        <v/>
      </c>
      <c r="AB40" s="8" t="str">
        <f>TRIM(CLEAN(IF(ISERROR(FIND(AB$2,Mail!$A38)),"",MID(Mail!$A38,FIND(AB$2,Mail!$A38)+LEN(AB$2)+1,IF(ISERROR(FIND("■",Mail!$A38,FIND(AB$2,Mail!$A38)+LEN(AB$2))-FIND(AB$2,Mail!$A38)-LEN(AB$2)),LEN(Mail!$A38)-60-FIND(AB$2,Mail!$A38)-LEN(AB$2),FIND("■",Mail!$A38,FIND(AB$2,Mail!$A38)+LEN(AB$2))-FIND(AB$2,Mail!$A38)-LEN(AB$2)-1)))))</f>
        <v/>
      </c>
      <c r="AC40" s="8" t="str">
        <f>TRIM(CLEAN(IF(ISERROR(FIND(AC$2,Mail!$A38)),"",MID(Mail!$A38,FIND(AC$2,Mail!$A38)+LEN(AC$2)+1,IF(ISERROR(FIND("■",Mail!$A38,FIND(AC$2,Mail!$A38)+LEN(AC$2))-FIND(AC$2,Mail!$A38)-LEN(AC$2)),LEN(Mail!$A38)-60-FIND(AC$2,Mail!$A38)-LEN(AC$2),FIND("■",Mail!$A38,FIND(AC$2,Mail!$A38)+LEN(AC$2))-FIND(AC$2,Mail!$A38)-LEN(AC$2)-1)))))</f>
        <v/>
      </c>
      <c r="AD40" s="8" t="str">
        <f>TRIM(CLEAN(IF(ISERROR(FIND(AD$2,Mail!$A38)),"",MID(Mail!$A38,FIND(AD$2,Mail!$A38)+LEN(AD$2)+1,IF(ISERROR(FIND("■",Mail!$A38,FIND(AD$2,Mail!$A38)+LEN(AD$2))-FIND(AD$2,Mail!$A38)-LEN(AD$2)),LEN(Mail!$A38)-60-FIND(AD$2,Mail!$A38)-LEN(AD$2),FIND("■",Mail!$A38,FIND(AD$2,Mail!$A38)+LEN(AD$2))-FIND(AD$2,Mail!$A38)-LEN(AD$2)-1)))))</f>
        <v/>
      </c>
      <c r="AE40" s="8" t="str">
        <f>TRIM(CLEAN(IF(ISERROR(FIND(AE$2,Mail!$A38)),"",MID(Mail!$A38,FIND(AE$2,Mail!$A38)+LEN(AE$2)+1,IF(ISERROR(FIND("■",Mail!$A38,FIND(AE$2,Mail!$A38)+LEN(AE$2))-FIND(AE$2,Mail!$A38)-LEN(AE$2)),LEN(Mail!$A38)-60-FIND(AE$2,Mail!$A38)-LEN(AE$2),FIND("■",Mail!$A38,FIND(AE$2,Mail!$A38)+LEN(AE$2))-FIND(AE$2,Mail!$A38)-LEN(AE$2)-1)))))</f>
        <v/>
      </c>
      <c r="AF40" s="8" t="str">
        <f>TRIM(CLEAN(IF(ISERROR(FIND(AF$2,Mail!$A38)),"",MID(Mail!$A38,FIND(AF$2,Mail!$A38)+LEN(AF$2)+1,IF(ISERROR(FIND("■",Mail!$A38,FIND(AF$2,Mail!$A38)+LEN(AF$2))-FIND(AF$2,Mail!$A38)-LEN(AF$2)),LEN(Mail!$A38)-60-FIND(AF$2,Mail!$A38)-LEN(AF$2),FIND("■",Mail!$A38,FIND(AF$2,Mail!$A38)+LEN(AF$2))-FIND(AF$2,Mail!$A38)-LEN(AF$2)-1)))))</f>
        <v/>
      </c>
      <c r="AG40" s="8" t="str">
        <f>TRIM(IF(ISERROR(FIND(AG$2,Mail!$A38)),"",MID(Mail!$A38,FIND(AG$2,Mail!$A38)+LEN(AG$2)+1,IF(ISERROR(FIND("■",Mail!$A38,FIND(AG$2,Mail!$A38)+LEN(AG$2))-FIND(AG$2,Mail!$A38)-LEN(AG$2)),LEN(Mail!$A38)-60-FIND(AG$2,Mail!$A38)-LEN(AG$2),FIND("■",Mail!$A38,FIND(AG$2,Mail!$A38)+LEN(AG$2))-FIND(AG$2,Mail!$A38)-LEN(AG$2)-1))))</f>
        <v/>
      </c>
      <c r="AH40" s="8" t="str">
        <f>TRIM(IF(ISERROR(FIND(AH$2,Mail!$A38)),"",MID(Mail!$A38,FIND(AH$2,Mail!$A38)+LEN(AH$2)+1,IF(ISERROR(FIND("■",Mail!$A38,FIND(AH$2,Mail!$A38)+LEN(AH$2))-FIND(AH$2,Mail!$A38)-LEN(AH$2)),LEN(Mail!$A38)-60-FIND(AH$2,Mail!$A38)-LEN(AH$2),FIND("■",Mail!$A38,FIND(AH$2,Mail!$A38)+LEN(AH$2))-FIND(AH$2,Mail!$A38)-LEN(AH$2)-1))))</f>
        <v/>
      </c>
      <c r="AI40" s="8" t="str">
        <f>TRIM(IF(ISERROR(FIND(AI$2,Mail!$A38)),"",MID(Mail!$A38,FIND(AI$2,Mail!$A38)+LEN(AI$2)+1,IF(ISERROR(FIND("■",Mail!$A38,FIND(AI$2,Mail!$A38)+LEN(AI$2))-FIND(AI$2,Mail!$A38)-LEN(AI$2)),LEN(Mail!$A38)-60-FIND(AI$2,Mail!$A38)-LEN(AI$2),FIND("■",Mail!$A38,FIND(AI$2,Mail!$A38)+LEN(AI$2))-FIND(AI$2,Mail!$A38)-LEN(AI$2)-1))))</f>
        <v/>
      </c>
    </row>
    <row r="41" spans="1:35" s="8" customFormat="1" x14ac:dyDescent="0.15">
      <c r="A41" s="9" t="str">
        <f t="shared" si="1"/>
        <v/>
      </c>
      <c r="B41" s="8" t="str">
        <f>CLEAN(SUBSTITUTE(IF(ISERROR(FIND("yokohama",Mail!$A39)),"",MID(Mail!$A39,FIND("yokohama",Mail!$A39)+LEN("yokohama")+1,FIND("件目",Mail!$A39,FIND("yokohama",Mail!$A39))-(FIND("yokohama",Mail!$A39)+LEN("yokohama")+1)))," ",""))</f>
        <v/>
      </c>
      <c r="C41" s="9" t="str">
        <f t="shared" si="4"/>
        <v/>
      </c>
      <c r="D41" s="9" t="str">
        <f t="shared" si="2"/>
        <v/>
      </c>
      <c r="E41" s="8" t="str">
        <f t="shared" si="3"/>
        <v/>
      </c>
      <c r="F41" s="8" t="str">
        <f>TRIM(CLEAN(IF(ISERROR(FIND(F$2,Mail!$A39)),"",MID(Mail!$A39,FIND(F$2,Mail!$A39)+LEN(F$2)+1,IF(ISERROR(FIND("■",Mail!$A39,FIND(F$2,Mail!$A39)+LEN(F$2))-FIND(F$2,Mail!$A39)-LEN(F$2)),LEN(Mail!$A39)-60-FIND(F$2,Mail!$A39)-LEN(F$2),FIND("■",Mail!$A39,FIND(F$2,Mail!$A39)+LEN(F$2))-FIND(F$2,Mail!$A39)-LEN(F$2)-1)))))</f>
        <v/>
      </c>
      <c r="G41" s="8" t="str">
        <f>TRIM(CLEAN(IF(ISERROR(FIND(G$2,Mail!$A39)),"",MID(Mail!$A39,FIND(G$2,Mail!$A39)+LEN(G$2)+1,IF(ISERROR(FIND("■",Mail!$A39,FIND(G$2,Mail!$A39)+LEN(G$2))-FIND(G$2,Mail!$A39)-LEN(G$2)),LEN(Mail!$A39)-60-FIND(G$2,Mail!$A39)-LEN(G$2),FIND("■",Mail!$A39,FIND(G$2,Mail!$A39)+LEN(G$2))-FIND(G$2,Mail!$A39)-LEN(G$2)-1)))))</f>
        <v/>
      </c>
      <c r="H41" s="8" t="str">
        <f>TRIM(CLEAN(IF(ISERROR(FIND(H$2,Mail!$A39)),"",MID(Mail!$A39,FIND(H$2,Mail!$A39)+LEN(H$2)+1,IF(ISERROR(FIND("■",Mail!$A39,FIND(H$2,Mail!$A39)+LEN(H$2))-FIND(H$2,Mail!$A39)-LEN(H$2)),LEN(Mail!$A39)-60-FIND(H$2,Mail!$A39)-LEN(H$2),FIND("■",Mail!$A39,FIND(H$2,Mail!$A39)+LEN(H$2))-FIND(H$2,Mail!$A39)-LEN(H$2)-1)))))</f>
        <v/>
      </c>
      <c r="I41" s="8" t="str">
        <f>TRIM(CLEAN(IF(ISERROR(FIND(I$2,Mail!$A39)),"",MID(Mail!$A39,FIND(I$2,Mail!$A39)+LEN(I$2)+1,IF(ISERROR(FIND("■",Mail!$A39,FIND(I$2,Mail!$A39)+LEN(I$2))-FIND(I$2,Mail!$A39)-LEN(I$2)),LEN(Mail!$A39)-60-FIND(I$2,Mail!$A39)-LEN(I$2),FIND("■",Mail!$A39,FIND(I$2,Mail!$A39)+LEN(I$2))-FIND(I$2,Mail!$A39)-LEN(I$2)-1)))))</f>
        <v/>
      </c>
      <c r="J41" s="8" t="str">
        <f>TRIM(IF(ISERROR(FIND(J$2,Mail!$A39)),"",MID(Mail!$A39,FIND(J$2,Mail!$A39)+LEN(J$2)+1,IF(ISERROR(FIND("■",Mail!$A39,FIND(J$2,Mail!$A39)+LEN(J$2))-FIND(J$2,Mail!$A39)-LEN(J$2)),LEN(Mail!$A39)-60-FIND(J$2,Mail!$A39)-LEN(J$2),FIND("■",Mail!$A39,FIND(J$2,Mail!$A39)+LEN(J$2))-FIND(J$2,Mail!$A39)-LEN(J$2)-1))))</f>
        <v/>
      </c>
      <c r="K41" s="8" t="str">
        <f>TRIM(IF(ISERROR(FIND(K$2,Mail!$A39)),"",MID(Mail!$A39,FIND(K$2,Mail!$A39)+LEN(K$2)+1,IF(ISERROR(FIND("■",Mail!$A39,FIND(K$2,Mail!$A39)+LEN(K$2))-FIND(K$2,Mail!$A39)-LEN(K$2)),LEN(Mail!$A39)-60-FIND(K$2,Mail!$A39)-LEN(K$2),FIND("■",Mail!$A39,FIND(K$2,Mail!$A39)+LEN(K$2))-FIND(K$2,Mail!$A39)-LEN(K$2)-1))))</f>
        <v/>
      </c>
      <c r="L41" s="8" t="str">
        <f>TRIM(IF(ISERROR(FIND(L$2,Mail!$A39)),"",MID(Mail!$A39,FIND(L$2,Mail!$A39)+LEN(L$2)+1,IF(ISERROR(FIND("■",Mail!$A39,FIND(L$2,Mail!$A39)+LEN(L$2))-FIND(L$2,Mail!$A39)-LEN(L$2)),LEN(Mail!$A39)-60-FIND(L$2,Mail!$A39)-LEN(L$2),FIND("■",Mail!$A39,FIND(L$2,Mail!$A39)+LEN(L$2))-FIND(L$2,Mail!$A39)-LEN(L$2)-1))))</f>
        <v/>
      </c>
      <c r="M41" s="8" t="str">
        <f>TRIM(CLEAN(IF(ISERROR(FIND(M$2,Mail!$A39)),"",MID(Mail!$A39,FIND(M$2,Mail!$A39)+LEN(M$2)+1,IF(ISERROR(FIND("■",Mail!$A39,FIND(M$2,Mail!$A39)+LEN(M$2))-FIND(M$2,Mail!$A39)-LEN(M$2)),LEN(Mail!$A39)-60-FIND(M$2,Mail!$A39)-LEN(M$2),FIND("■",Mail!$A39,FIND(M$2,Mail!$A39)+LEN(M$2))-FIND(M$2,Mail!$A39)-LEN(M$2)-1)))))</f>
        <v/>
      </c>
      <c r="N41" s="8" t="str">
        <f>TRIM(CLEAN(IF(ISERROR(FIND(N$2,Mail!$A39)),"",MID(Mail!$A39,FIND(N$2,Mail!$A39)+LEN(N$2)+1,IF(ISERROR(FIND("■",Mail!$A39,FIND(N$2,Mail!$A39)+LEN(N$2))-FIND(N$2,Mail!$A39)-LEN(N$2)),LEN(Mail!$A39)-60-FIND(N$2,Mail!$A39)-LEN(N$2),FIND("■",Mail!$A39,FIND(N$2,Mail!$A39)+LEN(N$2))-FIND(N$2,Mail!$A39)-LEN(N$2)-1)))))</f>
        <v/>
      </c>
      <c r="O41" s="8" t="str">
        <f>TRIM(CLEAN(IF(ISERROR(FIND(O$2,Mail!$A39)),"",MID(Mail!$A39,FIND(O$2,Mail!$A39)+LEN(O$2)+1,IF(ISERROR(FIND("■",Mail!$A39,FIND(O$2,Mail!$A39)+LEN(O$2))-FIND(O$2,Mail!$A39)-LEN(O$2)),LEN(Mail!$A39)-60-FIND(O$2,Mail!$A39)-LEN(O$2),FIND("■",Mail!$A39,FIND(O$2,Mail!$A39)+LEN(O$2))-FIND(O$2,Mail!$A39)-LEN(O$2)-1)))))</f>
        <v/>
      </c>
      <c r="P41" s="8" t="str">
        <f>TRIM(CLEAN(IF(ISERROR(FIND(P$2,Mail!$A39)),"",MID(Mail!$A39,FIND(P$2,Mail!$A39)+LEN(P$2)+1,IF(ISERROR(FIND("■",Mail!$A39,FIND(P$2,Mail!$A39)+LEN(P$2))-FIND(P$2,Mail!$A39)-LEN(P$2)),LEN(Mail!$A39)-60-FIND(P$2,Mail!$A39)-LEN(P$2),FIND("■",Mail!$A39,FIND(P$2,Mail!$A39)+LEN(P$2))-FIND(P$2,Mail!$A39)-LEN(P$2)-1)))))</f>
        <v/>
      </c>
      <c r="Q41" s="8" t="str">
        <f>TRIM(CLEAN(IF(ISERROR(FIND(Q$2,Mail!$A39)),"",MID(Mail!$A39,FIND(Q$2,Mail!$A39)+LEN(Q$2)+1,IF(ISERROR(FIND("■",Mail!$A39,FIND(Q$2,Mail!$A39)+LEN(Q$2))-FIND(Q$2,Mail!$A39)-LEN(Q$2)),LEN(Mail!$A39)-60-FIND(Q$2,Mail!$A39)-LEN(Q$2),FIND("■",Mail!$A39,FIND(Q$2,Mail!$A39)+LEN(Q$2))-FIND(Q$2,Mail!$A39)-LEN(Q$2)-1)))))</f>
        <v/>
      </c>
      <c r="R41" s="8" t="str">
        <f>TRIM(CLEAN(IF(ISERROR(FIND(R$2,Mail!$A39)),"",MID(Mail!$A39,FIND(R$2,Mail!$A39)+LEN(R$2)+1,IF(ISERROR(FIND("■",Mail!$A39,FIND(R$2,Mail!$A39)+LEN(R$2))-FIND(R$2,Mail!$A39)-LEN(R$2)),LEN(Mail!$A39)-60-FIND(R$2,Mail!$A39)-LEN(R$2),FIND("■",Mail!$A39,FIND(R$2,Mail!$A39)+LEN(R$2))-FIND(R$2,Mail!$A39)-LEN(R$2)-1)))))</f>
        <v/>
      </c>
      <c r="S41" s="8" t="str">
        <f>TRIM(CLEAN(IF(ISERROR(FIND(S$2,Mail!$A39)),"",MID(Mail!$A39,FIND(S$2,Mail!$A39)+LEN(S$2)+1,IF(ISERROR(FIND("■",Mail!$A39,FIND(S$2,Mail!$A39)+LEN(S$2))-FIND(S$2,Mail!$A39)-LEN(S$2)),LEN(Mail!$A39)-60-FIND(S$2,Mail!$A39)-LEN(S$2),FIND("■",Mail!$A39,FIND(S$2,Mail!$A39)+LEN(S$2))-FIND(S$2,Mail!$A39)-LEN(S$2)-1)))))</f>
        <v/>
      </c>
      <c r="T41" s="8" t="str">
        <f>TRIM(CLEAN(IF(ISERROR(FIND(T$2,Mail!$A39)),"",MID(Mail!$A39,FIND(T$2,Mail!$A39)+LEN(T$2)+1,IF(ISERROR(FIND("■",Mail!$A39,FIND(T$2,Mail!$A39)+LEN(T$2))-FIND(T$2,Mail!$A39)-LEN(T$2)),LEN(Mail!$A39)-60-FIND(T$2,Mail!$A39)-LEN(T$2),FIND("■",Mail!$A39,FIND(T$2,Mail!$A39)+LEN(T$2))-FIND(T$2,Mail!$A39)-LEN(T$2)-1)))))</f>
        <v/>
      </c>
      <c r="U41" s="8" t="str">
        <f>TRIM(CLEAN(IF(ISERROR(FIND(U$2,Mail!$A39)),"",MID(Mail!$A39,FIND(U$2,Mail!$A39)+LEN(U$2)+1,IF(ISERROR(FIND("■",Mail!$A39,FIND(U$2,Mail!$A39)+LEN(U$2))-FIND(U$2,Mail!$A39)-LEN(U$2)),LEN(Mail!$A39)-60-FIND(U$2,Mail!$A39)-LEN(U$2),FIND("■",Mail!$A39,FIND(U$2,Mail!$A39)+LEN(U$2))-FIND(U$2,Mail!$A39)-LEN(U$2)-1)))))</f>
        <v/>
      </c>
      <c r="V41" s="8" t="str">
        <f>TRIM(CLEAN(IF(ISERROR(FIND(V$2,Mail!$A39)),"",MID(Mail!$A39,FIND(V$2,Mail!$A39)+LEN(V$2)+1,IF(ISERROR(FIND("■",Mail!$A39,FIND(V$2,Mail!$A39)+LEN(V$2))-FIND(V$2,Mail!$A39)-LEN(V$2)),LEN(Mail!$A39)-60-FIND(V$2,Mail!$A39)-LEN(V$2),FIND("■",Mail!$A39,FIND(V$2,Mail!$A39)+LEN(V$2))-FIND(V$2,Mail!$A39)-LEN(V$2)-1)))))</f>
        <v/>
      </c>
      <c r="W41" s="8" t="str">
        <f>TRIM(CLEAN(IF(ISERROR(FIND(W$2,Mail!$A39)),"",MID(Mail!$A39,FIND(W$2,Mail!$A39)+LEN(W$2)+1,IF(ISERROR(FIND("■",Mail!$A39,FIND(W$2,Mail!$A39)+LEN(W$2))-FIND(W$2,Mail!$A39)-LEN(W$2)),LEN(Mail!$A39)-60-FIND(W$2,Mail!$A39)-LEN(W$2),FIND("■",Mail!$A39,FIND(W$2,Mail!$A39)+LEN(W$2))-FIND(W$2,Mail!$A39)-LEN(W$2)-1)))))</f>
        <v/>
      </c>
      <c r="X41" s="8" t="str">
        <f>TRIM(IF(ISERROR(FIND(X$2,Mail!$A39)),"",MID(Mail!$A39,FIND(X$2,Mail!$A39)+LEN(X$2)+1,IF(ISERROR(FIND("■",Mail!$A39,FIND(X$2,Mail!$A39)+LEN(X$2))-FIND(X$2,Mail!$A39)-LEN(X$2)),LEN(Mail!$A39)-60-FIND(X$2,Mail!$A39)-LEN(X$2),FIND("■",Mail!$A39,FIND(X$2,Mail!$A39)+LEN(X$2))-FIND(X$2,Mail!$A39)-LEN(X$2)-1))))</f>
        <v/>
      </c>
      <c r="Y41" s="8" t="str">
        <f>TRIM(CLEAN(IF(ISERROR(FIND(Y$2,Mail!$A39)),"",MID(Mail!$A39,FIND(Y$2,Mail!$A39)+LEN(Y$2)+1,IF(ISERROR(FIND("■",Mail!$A39,FIND(Y$2,Mail!$A39)+LEN(Y$2))-FIND(Y$2,Mail!$A39)-LEN(Y$2)),LEN(Mail!$A39)-60-FIND(Y$2,Mail!$A39)-LEN(Y$2),FIND("■",Mail!$A39,FIND(Y$2,Mail!$A39)+LEN(Y$2))-FIND(Y$2,Mail!$A39)-LEN(Y$2)-1)))))</f>
        <v/>
      </c>
      <c r="Z41" s="8" t="str">
        <f>TRIM(CLEAN(IF(ISERROR(FIND(Z$2,Mail!$A39)),"",MID(Mail!$A39,FIND(Z$2,Mail!$A39)+LEN(Z$2)+1,IF(ISERROR(FIND("■",Mail!$A39,FIND(Z$2,Mail!$A39)+LEN(Z$2))-FIND(Z$2,Mail!$A39)-LEN(Z$2)),LEN(Mail!$A39)-60-FIND(Z$2,Mail!$A39)-LEN(Z$2),FIND("■",Mail!$A39,FIND(Z$2,Mail!$A39)+LEN(Z$2))-FIND(Z$2,Mail!$A39)-LEN(Z$2)-1)))))</f>
        <v/>
      </c>
      <c r="AA41" s="8" t="str">
        <f>TRIM(CLEAN(IF(ISERROR(FIND(AA$2,Mail!$A39)),"",MID(Mail!$A39,FIND(AA$2,Mail!$A39)+LEN(AA$2)+1,IF(ISERROR(FIND("■",Mail!$A39,FIND(AA$2,Mail!$A39)+LEN(AA$2))-FIND(AA$2,Mail!$A39)-LEN(AA$2)),LEN(Mail!$A39)-60-FIND(AA$2,Mail!$A39)-LEN(AA$2),FIND("■",Mail!$A39,FIND(AA$2,Mail!$A39)+LEN(AA$2))-FIND(AA$2,Mail!$A39)-LEN(AA$2)-1)))))</f>
        <v/>
      </c>
      <c r="AB41" s="8" t="str">
        <f>TRIM(CLEAN(IF(ISERROR(FIND(AB$2,Mail!$A39)),"",MID(Mail!$A39,FIND(AB$2,Mail!$A39)+LEN(AB$2)+1,IF(ISERROR(FIND("■",Mail!$A39,FIND(AB$2,Mail!$A39)+LEN(AB$2))-FIND(AB$2,Mail!$A39)-LEN(AB$2)),LEN(Mail!$A39)-60-FIND(AB$2,Mail!$A39)-LEN(AB$2),FIND("■",Mail!$A39,FIND(AB$2,Mail!$A39)+LEN(AB$2))-FIND(AB$2,Mail!$A39)-LEN(AB$2)-1)))))</f>
        <v/>
      </c>
      <c r="AC41" s="8" t="str">
        <f>TRIM(CLEAN(IF(ISERROR(FIND(AC$2,Mail!$A39)),"",MID(Mail!$A39,FIND(AC$2,Mail!$A39)+LEN(AC$2)+1,IF(ISERROR(FIND("■",Mail!$A39,FIND(AC$2,Mail!$A39)+LEN(AC$2))-FIND(AC$2,Mail!$A39)-LEN(AC$2)),LEN(Mail!$A39)-60-FIND(AC$2,Mail!$A39)-LEN(AC$2),FIND("■",Mail!$A39,FIND(AC$2,Mail!$A39)+LEN(AC$2))-FIND(AC$2,Mail!$A39)-LEN(AC$2)-1)))))</f>
        <v/>
      </c>
      <c r="AD41" s="8" t="str">
        <f>TRIM(CLEAN(IF(ISERROR(FIND(AD$2,Mail!$A39)),"",MID(Mail!$A39,FIND(AD$2,Mail!$A39)+LEN(AD$2)+1,IF(ISERROR(FIND("■",Mail!$A39,FIND(AD$2,Mail!$A39)+LEN(AD$2))-FIND(AD$2,Mail!$A39)-LEN(AD$2)),LEN(Mail!$A39)-60-FIND(AD$2,Mail!$A39)-LEN(AD$2),FIND("■",Mail!$A39,FIND(AD$2,Mail!$A39)+LEN(AD$2))-FIND(AD$2,Mail!$A39)-LEN(AD$2)-1)))))</f>
        <v/>
      </c>
      <c r="AE41" s="8" t="str">
        <f>TRIM(CLEAN(IF(ISERROR(FIND(AE$2,Mail!$A39)),"",MID(Mail!$A39,FIND(AE$2,Mail!$A39)+LEN(AE$2)+1,IF(ISERROR(FIND("■",Mail!$A39,FIND(AE$2,Mail!$A39)+LEN(AE$2))-FIND(AE$2,Mail!$A39)-LEN(AE$2)),LEN(Mail!$A39)-60-FIND(AE$2,Mail!$A39)-LEN(AE$2),FIND("■",Mail!$A39,FIND(AE$2,Mail!$A39)+LEN(AE$2))-FIND(AE$2,Mail!$A39)-LEN(AE$2)-1)))))</f>
        <v/>
      </c>
      <c r="AF41" s="8" t="str">
        <f>TRIM(CLEAN(IF(ISERROR(FIND(AF$2,Mail!$A39)),"",MID(Mail!$A39,FIND(AF$2,Mail!$A39)+LEN(AF$2)+1,IF(ISERROR(FIND("■",Mail!$A39,FIND(AF$2,Mail!$A39)+LEN(AF$2))-FIND(AF$2,Mail!$A39)-LEN(AF$2)),LEN(Mail!$A39)-60-FIND(AF$2,Mail!$A39)-LEN(AF$2),FIND("■",Mail!$A39,FIND(AF$2,Mail!$A39)+LEN(AF$2))-FIND(AF$2,Mail!$A39)-LEN(AF$2)-1)))))</f>
        <v/>
      </c>
      <c r="AG41" s="8" t="str">
        <f>TRIM(IF(ISERROR(FIND(AG$2,Mail!$A39)),"",MID(Mail!$A39,FIND(AG$2,Mail!$A39)+LEN(AG$2)+1,IF(ISERROR(FIND("■",Mail!$A39,FIND(AG$2,Mail!$A39)+LEN(AG$2))-FIND(AG$2,Mail!$A39)-LEN(AG$2)),LEN(Mail!$A39)-60-FIND(AG$2,Mail!$A39)-LEN(AG$2),FIND("■",Mail!$A39,FIND(AG$2,Mail!$A39)+LEN(AG$2))-FIND(AG$2,Mail!$A39)-LEN(AG$2)-1))))</f>
        <v/>
      </c>
      <c r="AH41" s="8" t="str">
        <f>TRIM(IF(ISERROR(FIND(AH$2,Mail!$A39)),"",MID(Mail!$A39,FIND(AH$2,Mail!$A39)+LEN(AH$2)+1,IF(ISERROR(FIND("■",Mail!$A39,FIND(AH$2,Mail!$A39)+LEN(AH$2))-FIND(AH$2,Mail!$A39)-LEN(AH$2)),LEN(Mail!$A39)-60-FIND(AH$2,Mail!$A39)-LEN(AH$2),FIND("■",Mail!$A39,FIND(AH$2,Mail!$A39)+LEN(AH$2))-FIND(AH$2,Mail!$A39)-LEN(AH$2)-1))))</f>
        <v/>
      </c>
      <c r="AI41" s="8" t="str">
        <f>TRIM(IF(ISERROR(FIND(AI$2,Mail!$A39)),"",MID(Mail!$A39,FIND(AI$2,Mail!$A39)+LEN(AI$2)+1,IF(ISERROR(FIND("■",Mail!$A39,FIND(AI$2,Mail!$A39)+LEN(AI$2))-FIND(AI$2,Mail!$A39)-LEN(AI$2)),LEN(Mail!$A39)-60-FIND(AI$2,Mail!$A39)-LEN(AI$2),FIND("■",Mail!$A39,FIND(AI$2,Mail!$A39)+LEN(AI$2))-FIND(AI$2,Mail!$A39)-LEN(AI$2)-1))))</f>
        <v/>
      </c>
    </row>
    <row r="42" spans="1:35" s="8" customFormat="1" x14ac:dyDescent="0.15">
      <c r="A42" s="9" t="str">
        <f t="shared" si="1"/>
        <v/>
      </c>
      <c r="B42" s="8" t="str">
        <f>CLEAN(SUBSTITUTE(IF(ISERROR(FIND("yokohama",Mail!$A40)),"",MID(Mail!$A40,FIND("yokohama",Mail!$A40)+LEN("yokohama")+1,FIND("件目",Mail!$A40,FIND("yokohama",Mail!$A40))-(FIND("yokohama",Mail!$A40)+LEN("yokohama")+1)))," ",""))</f>
        <v/>
      </c>
      <c r="C42" s="9" t="str">
        <f t="shared" si="4"/>
        <v/>
      </c>
      <c r="D42" s="9" t="str">
        <f t="shared" si="2"/>
        <v/>
      </c>
      <c r="E42" s="8" t="str">
        <f t="shared" si="3"/>
        <v/>
      </c>
      <c r="F42" s="8" t="str">
        <f>TRIM(CLEAN(IF(ISERROR(FIND(F$2,Mail!$A40)),"",MID(Mail!$A40,FIND(F$2,Mail!$A40)+LEN(F$2)+1,IF(ISERROR(FIND("■",Mail!$A40,FIND(F$2,Mail!$A40)+LEN(F$2))-FIND(F$2,Mail!$A40)-LEN(F$2)),LEN(Mail!$A40)-60-FIND(F$2,Mail!$A40)-LEN(F$2),FIND("■",Mail!$A40,FIND(F$2,Mail!$A40)+LEN(F$2))-FIND(F$2,Mail!$A40)-LEN(F$2)-1)))))</f>
        <v/>
      </c>
      <c r="G42" s="8" t="str">
        <f>TRIM(CLEAN(IF(ISERROR(FIND(G$2,Mail!$A40)),"",MID(Mail!$A40,FIND(G$2,Mail!$A40)+LEN(G$2)+1,IF(ISERROR(FIND("■",Mail!$A40,FIND(G$2,Mail!$A40)+LEN(G$2))-FIND(G$2,Mail!$A40)-LEN(G$2)),LEN(Mail!$A40)-60-FIND(G$2,Mail!$A40)-LEN(G$2),FIND("■",Mail!$A40,FIND(G$2,Mail!$A40)+LEN(G$2))-FIND(G$2,Mail!$A40)-LEN(G$2)-1)))))</f>
        <v/>
      </c>
      <c r="H42" s="8" t="str">
        <f>TRIM(CLEAN(IF(ISERROR(FIND(H$2,Mail!$A40)),"",MID(Mail!$A40,FIND(H$2,Mail!$A40)+LEN(H$2)+1,IF(ISERROR(FIND("■",Mail!$A40,FIND(H$2,Mail!$A40)+LEN(H$2))-FIND(H$2,Mail!$A40)-LEN(H$2)),LEN(Mail!$A40)-60-FIND(H$2,Mail!$A40)-LEN(H$2),FIND("■",Mail!$A40,FIND(H$2,Mail!$A40)+LEN(H$2))-FIND(H$2,Mail!$A40)-LEN(H$2)-1)))))</f>
        <v/>
      </c>
      <c r="I42" s="8" t="str">
        <f>TRIM(CLEAN(IF(ISERROR(FIND(I$2,Mail!$A40)),"",MID(Mail!$A40,FIND(I$2,Mail!$A40)+LEN(I$2)+1,IF(ISERROR(FIND("■",Mail!$A40,FIND(I$2,Mail!$A40)+LEN(I$2))-FIND(I$2,Mail!$A40)-LEN(I$2)),LEN(Mail!$A40)-60-FIND(I$2,Mail!$A40)-LEN(I$2),FIND("■",Mail!$A40,FIND(I$2,Mail!$A40)+LEN(I$2))-FIND(I$2,Mail!$A40)-LEN(I$2)-1)))))</f>
        <v/>
      </c>
      <c r="J42" s="8" t="str">
        <f>TRIM(IF(ISERROR(FIND(J$2,Mail!$A40)),"",MID(Mail!$A40,FIND(J$2,Mail!$A40)+LEN(J$2)+1,IF(ISERROR(FIND("■",Mail!$A40,FIND(J$2,Mail!$A40)+LEN(J$2))-FIND(J$2,Mail!$A40)-LEN(J$2)),LEN(Mail!$A40)-60-FIND(J$2,Mail!$A40)-LEN(J$2),FIND("■",Mail!$A40,FIND(J$2,Mail!$A40)+LEN(J$2))-FIND(J$2,Mail!$A40)-LEN(J$2)-1))))</f>
        <v/>
      </c>
      <c r="K42" s="8" t="str">
        <f>TRIM(IF(ISERROR(FIND(K$2,Mail!$A40)),"",MID(Mail!$A40,FIND(K$2,Mail!$A40)+LEN(K$2)+1,IF(ISERROR(FIND("■",Mail!$A40,FIND(K$2,Mail!$A40)+LEN(K$2))-FIND(K$2,Mail!$A40)-LEN(K$2)),LEN(Mail!$A40)-60-FIND(K$2,Mail!$A40)-LEN(K$2),FIND("■",Mail!$A40,FIND(K$2,Mail!$A40)+LEN(K$2))-FIND(K$2,Mail!$A40)-LEN(K$2)-1))))</f>
        <v/>
      </c>
      <c r="L42" s="8" t="str">
        <f>TRIM(IF(ISERROR(FIND(L$2,Mail!$A40)),"",MID(Mail!$A40,FIND(L$2,Mail!$A40)+LEN(L$2)+1,IF(ISERROR(FIND("■",Mail!$A40,FIND(L$2,Mail!$A40)+LEN(L$2))-FIND(L$2,Mail!$A40)-LEN(L$2)),LEN(Mail!$A40)-60-FIND(L$2,Mail!$A40)-LEN(L$2),FIND("■",Mail!$A40,FIND(L$2,Mail!$A40)+LEN(L$2))-FIND(L$2,Mail!$A40)-LEN(L$2)-1))))</f>
        <v/>
      </c>
      <c r="M42" s="8" t="str">
        <f>TRIM(CLEAN(IF(ISERROR(FIND(M$2,Mail!$A40)),"",MID(Mail!$A40,FIND(M$2,Mail!$A40)+LEN(M$2)+1,IF(ISERROR(FIND("■",Mail!$A40,FIND(M$2,Mail!$A40)+LEN(M$2))-FIND(M$2,Mail!$A40)-LEN(M$2)),LEN(Mail!$A40)-60-FIND(M$2,Mail!$A40)-LEN(M$2),FIND("■",Mail!$A40,FIND(M$2,Mail!$A40)+LEN(M$2))-FIND(M$2,Mail!$A40)-LEN(M$2)-1)))))</f>
        <v/>
      </c>
      <c r="N42" s="8" t="str">
        <f>TRIM(CLEAN(IF(ISERROR(FIND(N$2,Mail!$A40)),"",MID(Mail!$A40,FIND(N$2,Mail!$A40)+LEN(N$2)+1,IF(ISERROR(FIND("■",Mail!$A40,FIND(N$2,Mail!$A40)+LEN(N$2))-FIND(N$2,Mail!$A40)-LEN(N$2)),LEN(Mail!$A40)-60-FIND(N$2,Mail!$A40)-LEN(N$2),FIND("■",Mail!$A40,FIND(N$2,Mail!$A40)+LEN(N$2))-FIND(N$2,Mail!$A40)-LEN(N$2)-1)))))</f>
        <v/>
      </c>
      <c r="O42" s="8" t="str">
        <f>TRIM(CLEAN(IF(ISERROR(FIND(O$2,Mail!$A40)),"",MID(Mail!$A40,FIND(O$2,Mail!$A40)+LEN(O$2)+1,IF(ISERROR(FIND("■",Mail!$A40,FIND(O$2,Mail!$A40)+LEN(O$2))-FIND(O$2,Mail!$A40)-LEN(O$2)),LEN(Mail!$A40)-60-FIND(O$2,Mail!$A40)-LEN(O$2),FIND("■",Mail!$A40,FIND(O$2,Mail!$A40)+LEN(O$2))-FIND(O$2,Mail!$A40)-LEN(O$2)-1)))))</f>
        <v/>
      </c>
      <c r="P42" s="8" t="str">
        <f>TRIM(CLEAN(IF(ISERROR(FIND(P$2,Mail!$A40)),"",MID(Mail!$A40,FIND(P$2,Mail!$A40)+LEN(P$2)+1,IF(ISERROR(FIND("■",Mail!$A40,FIND(P$2,Mail!$A40)+LEN(P$2))-FIND(P$2,Mail!$A40)-LEN(P$2)),LEN(Mail!$A40)-60-FIND(P$2,Mail!$A40)-LEN(P$2),FIND("■",Mail!$A40,FIND(P$2,Mail!$A40)+LEN(P$2))-FIND(P$2,Mail!$A40)-LEN(P$2)-1)))))</f>
        <v/>
      </c>
      <c r="Q42" s="8" t="str">
        <f>TRIM(CLEAN(IF(ISERROR(FIND(Q$2,Mail!$A40)),"",MID(Mail!$A40,FIND(Q$2,Mail!$A40)+LEN(Q$2)+1,IF(ISERROR(FIND("■",Mail!$A40,FIND(Q$2,Mail!$A40)+LEN(Q$2))-FIND(Q$2,Mail!$A40)-LEN(Q$2)),LEN(Mail!$A40)-60-FIND(Q$2,Mail!$A40)-LEN(Q$2),FIND("■",Mail!$A40,FIND(Q$2,Mail!$A40)+LEN(Q$2))-FIND(Q$2,Mail!$A40)-LEN(Q$2)-1)))))</f>
        <v/>
      </c>
      <c r="R42" s="8" t="str">
        <f>TRIM(CLEAN(IF(ISERROR(FIND(R$2,Mail!$A40)),"",MID(Mail!$A40,FIND(R$2,Mail!$A40)+LEN(R$2)+1,IF(ISERROR(FIND("■",Mail!$A40,FIND(R$2,Mail!$A40)+LEN(R$2))-FIND(R$2,Mail!$A40)-LEN(R$2)),LEN(Mail!$A40)-60-FIND(R$2,Mail!$A40)-LEN(R$2),FIND("■",Mail!$A40,FIND(R$2,Mail!$A40)+LEN(R$2))-FIND(R$2,Mail!$A40)-LEN(R$2)-1)))))</f>
        <v/>
      </c>
      <c r="S42" s="8" t="str">
        <f>TRIM(CLEAN(IF(ISERROR(FIND(S$2,Mail!$A40)),"",MID(Mail!$A40,FIND(S$2,Mail!$A40)+LEN(S$2)+1,IF(ISERROR(FIND("■",Mail!$A40,FIND(S$2,Mail!$A40)+LEN(S$2))-FIND(S$2,Mail!$A40)-LEN(S$2)),LEN(Mail!$A40)-60-FIND(S$2,Mail!$A40)-LEN(S$2),FIND("■",Mail!$A40,FIND(S$2,Mail!$A40)+LEN(S$2))-FIND(S$2,Mail!$A40)-LEN(S$2)-1)))))</f>
        <v/>
      </c>
      <c r="T42" s="8" t="str">
        <f>TRIM(CLEAN(IF(ISERROR(FIND(T$2,Mail!$A40)),"",MID(Mail!$A40,FIND(T$2,Mail!$A40)+LEN(T$2)+1,IF(ISERROR(FIND("■",Mail!$A40,FIND(T$2,Mail!$A40)+LEN(T$2))-FIND(T$2,Mail!$A40)-LEN(T$2)),LEN(Mail!$A40)-60-FIND(T$2,Mail!$A40)-LEN(T$2),FIND("■",Mail!$A40,FIND(T$2,Mail!$A40)+LEN(T$2))-FIND(T$2,Mail!$A40)-LEN(T$2)-1)))))</f>
        <v/>
      </c>
      <c r="U42" s="8" t="str">
        <f>TRIM(CLEAN(IF(ISERROR(FIND(U$2,Mail!$A40)),"",MID(Mail!$A40,FIND(U$2,Mail!$A40)+LEN(U$2)+1,IF(ISERROR(FIND("■",Mail!$A40,FIND(U$2,Mail!$A40)+LEN(U$2))-FIND(U$2,Mail!$A40)-LEN(U$2)),LEN(Mail!$A40)-60-FIND(U$2,Mail!$A40)-LEN(U$2),FIND("■",Mail!$A40,FIND(U$2,Mail!$A40)+LEN(U$2))-FIND(U$2,Mail!$A40)-LEN(U$2)-1)))))</f>
        <v/>
      </c>
      <c r="V42" s="8" t="str">
        <f>TRIM(CLEAN(IF(ISERROR(FIND(V$2,Mail!$A40)),"",MID(Mail!$A40,FIND(V$2,Mail!$A40)+LEN(V$2)+1,IF(ISERROR(FIND("■",Mail!$A40,FIND(V$2,Mail!$A40)+LEN(V$2))-FIND(V$2,Mail!$A40)-LEN(V$2)),LEN(Mail!$A40)-60-FIND(V$2,Mail!$A40)-LEN(V$2),FIND("■",Mail!$A40,FIND(V$2,Mail!$A40)+LEN(V$2))-FIND(V$2,Mail!$A40)-LEN(V$2)-1)))))</f>
        <v/>
      </c>
      <c r="W42" s="8" t="str">
        <f>TRIM(CLEAN(IF(ISERROR(FIND(W$2,Mail!$A40)),"",MID(Mail!$A40,FIND(W$2,Mail!$A40)+LEN(W$2)+1,IF(ISERROR(FIND("■",Mail!$A40,FIND(W$2,Mail!$A40)+LEN(W$2))-FIND(W$2,Mail!$A40)-LEN(W$2)),LEN(Mail!$A40)-60-FIND(W$2,Mail!$A40)-LEN(W$2),FIND("■",Mail!$A40,FIND(W$2,Mail!$A40)+LEN(W$2))-FIND(W$2,Mail!$A40)-LEN(W$2)-1)))))</f>
        <v/>
      </c>
      <c r="X42" s="8" t="str">
        <f>TRIM(IF(ISERROR(FIND(X$2,Mail!$A40)),"",MID(Mail!$A40,FIND(X$2,Mail!$A40)+LEN(X$2)+1,IF(ISERROR(FIND("■",Mail!$A40,FIND(X$2,Mail!$A40)+LEN(X$2))-FIND(X$2,Mail!$A40)-LEN(X$2)),LEN(Mail!$A40)-60-FIND(X$2,Mail!$A40)-LEN(X$2),FIND("■",Mail!$A40,FIND(X$2,Mail!$A40)+LEN(X$2))-FIND(X$2,Mail!$A40)-LEN(X$2)-1))))</f>
        <v/>
      </c>
      <c r="Y42" s="8" t="str">
        <f>TRIM(CLEAN(IF(ISERROR(FIND(Y$2,Mail!$A40)),"",MID(Mail!$A40,FIND(Y$2,Mail!$A40)+LEN(Y$2)+1,IF(ISERROR(FIND("■",Mail!$A40,FIND(Y$2,Mail!$A40)+LEN(Y$2))-FIND(Y$2,Mail!$A40)-LEN(Y$2)),LEN(Mail!$A40)-60-FIND(Y$2,Mail!$A40)-LEN(Y$2),FIND("■",Mail!$A40,FIND(Y$2,Mail!$A40)+LEN(Y$2))-FIND(Y$2,Mail!$A40)-LEN(Y$2)-1)))))</f>
        <v/>
      </c>
      <c r="Z42" s="8" t="str">
        <f>TRIM(CLEAN(IF(ISERROR(FIND(Z$2,Mail!$A40)),"",MID(Mail!$A40,FIND(Z$2,Mail!$A40)+LEN(Z$2)+1,IF(ISERROR(FIND("■",Mail!$A40,FIND(Z$2,Mail!$A40)+LEN(Z$2))-FIND(Z$2,Mail!$A40)-LEN(Z$2)),LEN(Mail!$A40)-60-FIND(Z$2,Mail!$A40)-LEN(Z$2),FIND("■",Mail!$A40,FIND(Z$2,Mail!$A40)+LEN(Z$2))-FIND(Z$2,Mail!$A40)-LEN(Z$2)-1)))))</f>
        <v/>
      </c>
      <c r="AA42" s="8" t="str">
        <f>TRIM(CLEAN(IF(ISERROR(FIND(AA$2,Mail!$A40)),"",MID(Mail!$A40,FIND(AA$2,Mail!$A40)+LEN(AA$2)+1,IF(ISERROR(FIND("■",Mail!$A40,FIND(AA$2,Mail!$A40)+LEN(AA$2))-FIND(AA$2,Mail!$A40)-LEN(AA$2)),LEN(Mail!$A40)-60-FIND(AA$2,Mail!$A40)-LEN(AA$2),FIND("■",Mail!$A40,FIND(AA$2,Mail!$A40)+LEN(AA$2))-FIND(AA$2,Mail!$A40)-LEN(AA$2)-1)))))</f>
        <v/>
      </c>
      <c r="AB42" s="8" t="str">
        <f>TRIM(CLEAN(IF(ISERROR(FIND(AB$2,Mail!$A40)),"",MID(Mail!$A40,FIND(AB$2,Mail!$A40)+LEN(AB$2)+1,IF(ISERROR(FIND("■",Mail!$A40,FIND(AB$2,Mail!$A40)+LEN(AB$2))-FIND(AB$2,Mail!$A40)-LEN(AB$2)),LEN(Mail!$A40)-60-FIND(AB$2,Mail!$A40)-LEN(AB$2),FIND("■",Mail!$A40,FIND(AB$2,Mail!$A40)+LEN(AB$2))-FIND(AB$2,Mail!$A40)-LEN(AB$2)-1)))))</f>
        <v/>
      </c>
      <c r="AC42" s="8" t="str">
        <f>TRIM(CLEAN(IF(ISERROR(FIND(AC$2,Mail!$A40)),"",MID(Mail!$A40,FIND(AC$2,Mail!$A40)+LEN(AC$2)+1,IF(ISERROR(FIND("■",Mail!$A40,FIND(AC$2,Mail!$A40)+LEN(AC$2))-FIND(AC$2,Mail!$A40)-LEN(AC$2)),LEN(Mail!$A40)-60-FIND(AC$2,Mail!$A40)-LEN(AC$2),FIND("■",Mail!$A40,FIND(AC$2,Mail!$A40)+LEN(AC$2))-FIND(AC$2,Mail!$A40)-LEN(AC$2)-1)))))</f>
        <v/>
      </c>
      <c r="AD42" s="8" t="str">
        <f>TRIM(CLEAN(IF(ISERROR(FIND(AD$2,Mail!$A40)),"",MID(Mail!$A40,FIND(AD$2,Mail!$A40)+LEN(AD$2)+1,IF(ISERROR(FIND("■",Mail!$A40,FIND(AD$2,Mail!$A40)+LEN(AD$2))-FIND(AD$2,Mail!$A40)-LEN(AD$2)),LEN(Mail!$A40)-60-FIND(AD$2,Mail!$A40)-LEN(AD$2),FIND("■",Mail!$A40,FIND(AD$2,Mail!$A40)+LEN(AD$2))-FIND(AD$2,Mail!$A40)-LEN(AD$2)-1)))))</f>
        <v/>
      </c>
      <c r="AE42" s="8" t="str">
        <f>TRIM(CLEAN(IF(ISERROR(FIND(AE$2,Mail!$A40)),"",MID(Mail!$A40,FIND(AE$2,Mail!$A40)+LEN(AE$2)+1,IF(ISERROR(FIND("■",Mail!$A40,FIND(AE$2,Mail!$A40)+LEN(AE$2))-FIND(AE$2,Mail!$A40)-LEN(AE$2)),LEN(Mail!$A40)-60-FIND(AE$2,Mail!$A40)-LEN(AE$2),FIND("■",Mail!$A40,FIND(AE$2,Mail!$A40)+LEN(AE$2))-FIND(AE$2,Mail!$A40)-LEN(AE$2)-1)))))</f>
        <v/>
      </c>
      <c r="AF42" s="8" t="str">
        <f>TRIM(CLEAN(IF(ISERROR(FIND(AF$2,Mail!$A40)),"",MID(Mail!$A40,FIND(AF$2,Mail!$A40)+LEN(AF$2)+1,IF(ISERROR(FIND("■",Mail!$A40,FIND(AF$2,Mail!$A40)+LEN(AF$2))-FIND(AF$2,Mail!$A40)-LEN(AF$2)),LEN(Mail!$A40)-60-FIND(AF$2,Mail!$A40)-LEN(AF$2),FIND("■",Mail!$A40,FIND(AF$2,Mail!$A40)+LEN(AF$2))-FIND(AF$2,Mail!$A40)-LEN(AF$2)-1)))))</f>
        <v/>
      </c>
      <c r="AG42" s="8" t="str">
        <f>TRIM(IF(ISERROR(FIND(AG$2,Mail!$A40)),"",MID(Mail!$A40,FIND(AG$2,Mail!$A40)+LEN(AG$2)+1,IF(ISERROR(FIND("■",Mail!$A40,FIND(AG$2,Mail!$A40)+LEN(AG$2))-FIND(AG$2,Mail!$A40)-LEN(AG$2)),LEN(Mail!$A40)-60-FIND(AG$2,Mail!$A40)-LEN(AG$2),FIND("■",Mail!$A40,FIND(AG$2,Mail!$A40)+LEN(AG$2))-FIND(AG$2,Mail!$A40)-LEN(AG$2)-1))))</f>
        <v/>
      </c>
      <c r="AH42" s="8" t="str">
        <f>TRIM(IF(ISERROR(FIND(AH$2,Mail!$A40)),"",MID(Mail!$A40,FIND(AH$2,Mail!$A40)+LEN(AH$2)+1,IF(ISERROR(FIND("■",Mail!$A40,FIND(AH$2,Mail!$A40)+LEN(AH$2))-FIND(AH$2,Mail!$A40)-LEN(AH$2)),LEN(Mail!$A40)-60-FIND(AH$2,Mail!$A40)-LEN(AH$2),FIND("■",Mail!$A40,FIND(AH$2,Mail!$A40)+LEN(AH$2))-FIND(AH$2,Mail!$A40)-LEN(AH$2)-1))))</f>
        <v/>
      </c>
      <c r="AI42" s="8" t="str">
        <f>TRIM(IF(ISERROR(FIND(AI$2,Mail!$A40)),"",MID(Mail!$A40,FIND(AI$2,Mail!$A40)+LEN(AI$2)+1,IF(ISERROR(FIND("■",Mail!$A40,FIND(AI$2,Mail!$A40)+LEN(AI$2))-FIND(AI$2,Mail!$A40)-LEN(AI$2)),LEN(Mail!$A40)-60-FIND(AI$2,Mail!$A40)-LEN(AI$2),FIND("■",Mail!$A40,FIND(AI$2,Mail!$A40)+LEN(AI$2))-FIND(AI$2,Mail!$A40)-LEN(AI$2)-1))))</f>
        <v/>
      </c>
    </row>
    <row r="43" spans="1:35" s="8" customFormat="1" x14ac:dyDescent="0.15">
      <c r="A43" s="9" t="str">
        <f t="shared" si="1"/>
        <v/>
      </c>
      <c r="B43" s="8" t="str">
        <f>CLEAN(SUBSTITUTE(IF(ISERROR(FIND("yokohama",Mail!$A41)),"",MID(Mail!$A41,FIND("yokohama",Mail!$A41)+LEN("yokohama")+1,FIND("件目",Mail!$A41,FIND("yokohama",Mail!$A41))-(FIND("yokohama",Mail!$A41)+LEN("yokohama")+1)))," ",""))</f>
        <v/>
      </c>
      <c r="C43" s="9" t="str">
        <f t="shared" si="4"/>
        <v/>
      </c>
      <c r="D43" s="9" t="str">
        <f t="shared" si="2"/>
        <v/>
      </c>
      <c r="E43" s="8" t="str">
        <f t="shared" si="3"/>
        <v/>
      </c>
      <c r="F43" s="8" t="str">
        <f>TRIM(CLEAN(IF(ISERROR(FIND(F$2,Mail!$A41)),"",MID(Mail!$A41,FIND(F$2,Mail!$A41)+LEN(F$2)+1,IF(ISERROR(FIND("■",Mail!$A41,FIND(F$2,Mail!$A41)+LEN(F$2))-FIND(F$2,Mail!$A41)-LEN(F$2)),LEN(Mail!$A41)-60-FIND(F$2,Mail!$A41)-LEN(F$2),FIND("■",Mail!$A41,FIND(F$2,Mail!$A41)+LEN(F$2))-FIND(F$2,Mail!$A41)-LEN(F$2)-1)))))</f>
        <v/>
      </c>
      <c r="G43" s="8" t="str">
        <f>TRIM(CLEAN(IF(ISERROR(FIND(G$2,Mail!$A41)),"",MID(Mail!$A41,FIND(G$2,Mail!$A41)+LEN(G$2)+1,IF(ISERROR(FIND("■",Mail!$A41,FIND(G$2,Mail!$A41)+LEN(G$2))-FIND(G$2,Mail!$A41)-LEN(G$2)),LEN(Mail!$A41)-60-FIND(G$2,Mail!$A41)-LEN(G$2),FIND("■",Mail!$A41,FIND(G$2,Mail!$A41)+LEN(G$2))-FIND(G$2,Mail!$A41)-LEN(G$2)-1)))))</f>
        <v/>
      </c>
      <c r="H43" s="8" t="str">
        <f>TRIM(CLEAN(IF(ISERROR(FIND(H$2,Mail!$A41)),"",MID(Mail!$A41,FIND(H$2,Mail!$A41)+LEN(H$2)+1,IF(ISERROR(FIND("■",Mail!$A41,FIND(H$2,Mail!$A41)+LEN(H$2))-FIND(H$2,Mail!$A41)-LEN(H$2)),LEN(Mail!$A41)-60-FIND(H$2,Mail!$A41)-LEN(H$2),FIND("■",Mail!$A41,FIND(H$2,Mail!$A41)+LEN(H$2))-FIND(H$2,Mail!$A41)-LEN(H$2)-1)))))</f>
        <v/>
      </c>
      <c r="I43" s="8" t="str">
        <f>TRIM(CLEAN(IF(ISERROR(FIND(I$2,Mail!$A41)),"",MID(Mail!$A41,FIND(I$2,Mail!$A41)+LEN(I$2)+1,IF(ISERROR(FIND("■",Mail!$A41,FIND(I$2,Mail!$A41)+LEN(I$2))-FIND(I$2,Mail!$A41)-LEN(I$2)),LEN(Mail!$A41)-60-FIND(I$2,Mail!$A41)-LEN(I$2),FIND("■",Mail!$A41,FIND(I$2,Mail!$A41)+LEN(I$2))-FIND(I$2,Mail!$A41)-LEN(I$2)-1)))))</f>
        <v/>
      </c>
      <c r="J43" s="8" t="str">
        <f>TRIM(IF(ISERROR(FIND(J$2,Mail!$A41)),"",MID(Mail!$A41,FIND(J$2,Mail!$A41)+LEN(J$2)+1,IF(ISERROR(FIND("■",Mail!$A41,FIND(J$2,Mail!$A41)+LEN(J$2))-FIND(J$2,Mail!$A41)-LEN(J$2)),LEN(Mail!$A41)-60-FIND(J$2,Mail!$A41)-LEN(J$2),FIND("■",Mail!$A41,FIND(J$2,Mail!$A41)+LEN(J$2))-FIND(J$2,Mail!$A41)-LEN(J$2)-1))))</f>
        <v/>
      </c>
      <c r="K43" s="8" t="str">
        <f>TRIM(IF(ISERROR(FIND(K$2,Mail!$A41)),"",MID(Mail!$A41,FIND(K$2,Mail!$A41)+LEN(K$2)+1,IF(ISERROR(FIND("■",Mail!$A41,FIND(K$2,Mail!$A41)+LEN(K$2))-FIND(K$2,Mail!$A41)-LEN(K$2)),LEN(Mail!$A41)-60-FIND(K$2,Mail!$A41)-LEN(K$2),FIND("■",Mail!$A41,FIND(K$2,Mail!$A41)+LEN(K$2))-FIND(K$2,Mail!$A41)-LEN(K$2)-1))))</f>
        <v/>
      </c>
      <c r="L43" s="8" t="str">
        <f>TRIM(IF(ISERROR(FIND(L$2,Mail!$A41)),"",MID(Mail!$A41,FIND(L$2,Mail!$A41)+LEN(L$2)+1,IF(ISERROR(FIND("■",Mail!$A41,FIND(L$2,Mail!$A41)+LEN(L$2))-FIND(L$2,Mail!$A41)-LEN(L$2)),LEN(Mail!$A41)-60-FIND(L$2,Mail!$A41)-LEN(L$2),FIND("■",Mail!$A41,FIND(L$2,Mail!$A41)+LEN(L$2))-FIND(L$2,Mail!$A41)-LEN(L$2)-1))))</f>
        <v/>
      </c>
      <c r="M43" s="8" t="str">
        <f>TRIM(CLEAN(IF(ISERROR(FIND(M$2,Mail!$A41)),"",MID(Mail!$A41,FIND(M$2,Mail!$A41)+LEN(M$2)+1,IF(ISERROR(FIND("■",Mail!$A41,FIND(M$2,Mail!$A41)+LEN(M$2))-FIND(M$2,Mail!$A41)-LEN(M$2)),LEN(Mail!$A41)-60-FIND(M$2,Mail!$A41)-LEN(M$2),FIND("■",Mail!$A41,FIND(M$2,Mail!$A41)+LEN(M$2))-FIND(M$2,Mail!$A41)-LEN(M$2)-1)))))</f>
        <v/>
      </c>
      <c r="N43" s="8" t="str">
        <f>TRIM(CLEAN(IF(ISERROR(FIND(N$2,Mail!$A41)),"",MID(Mail!$A41,FIND(N$2,Mail!$A41)+LEN(N$2)+1,IF(ISERROR(FIND("■",Mail!$A41,FIND(N$2,Mail!$A41)+LEN(N$2))-FIND(N$2,Mail!$A41)-LEN(N$2)),LEN(Mail!$A41)-60-FIND(N$2,Mail!$A41)-LEN(N$2),FIND("■",Mail!$A41,FIND(N$2,Mail!$A41)+LEN(N$2))-FIND(N$2,Mail!$A41)-LEN(N$2)-1)))))</f>
        <v/>
      </c>
      <c r="O43" s="8" t="str">
        <f>TRIM(CLEAN(IF(ISERROR(FIND(O$2,Mail!$A41)),"",MID(Mail!$A41,FIND(O$2,Mail!$A41)+LEN(O$2)+1,IF(ISERROR(FIND("■",Mail!$A41,FIND(O$2,Mail!$A41)+LEN(O$2))-FIND(O$2,Mail!$A41)-LEN(O$2)),LEN(Mail!$A41)-60-FIND(O$2,Mail!$A41)-LEN(O$2),FIND("■",Mail!$A41,FIND(O$2,Mail!$A41)+LEN(O$2))-FIND(O$2,Mail!$A41)-LEN(O$2)-1)))))</f>
        <v/>
      </c>
      <c r="P43" s="8" t="str">
        <f>TRIM(CLEAN(IF(ISERROR(FIND(P$2,Mail!$A41)),"",MID(Mail!$A41,FIND(P$2,Mail!$A41)+LEN(P$2)+1,IF(ISERROR(FIND("■",Mail!$A41,FIND(P$2,Mail!$A41)+LEN(P$2))-FIND(P$2,Mail!$A41)-LEN(P$2)),LEN(Mail!$A41)-60-FIND(P$2,Mail!$A41)-LEN(P$2),FIND("■",Mail!$A41,FIND(P$2,Mail!$A41)+LEN(P$2))-FIND(P$2,Mail!$A41)-LEN(P$2)-1)))))</f>
        <v/>
      </c>
      <c r="Q43" s="8" t="str">
        <f>TRIM(CLEAN(IF(ISERROR(FIND(Q$2,Mail!$A41)),"",MID(Mail!$A41,FIND(Q$2,Mail!$A41)+LEN(Q$2)+1,IF(ISERROR(FIND("■",Mail!$A41,FIND(Q$2,Mail!$A41)+LEN(Q$2))-FIND(Q$2,Mail!$A41)-LEN(Q$2)),LEN(Mail!$A41)-60-FIND(Q$2,Mail!$A41)-LEN(Q$2),FIND("■",Mail!$A41,FIND(Q$2,Mail!$A41)+LEN(Q$2))-FIND(Q$2,Mail!$A41)-LEN(Q$2)-1)))))</f>
        <v/>
      </c>
      <c r="R43" s="8" t="str">
        <f>TRIM(CLEAN(IF(ISERROR(FIND(R$2,Mail!$A41)),"",MID(Mail!$A41,FIND(R$2,Mail!$A41)+LEN(R$2)+1,IF(ISERROR(FIND("■",Mail!$A41,FIND(R$2,Mail!$A41)+LEN(R$2))-FIND(R$2,Mail!$A41)-LEN(R$2)),LEN(Mail!$A41)-60-FIND(R$2,Mail!$A41)-LEN(R$2),FIND("■",Mail!$A41,FIND(R$2,Mail!$A41)+LEN(R$2))-FIND(R$2,Mail!$A41)-LEN(R$2)-1)))))</f>
        <v/>
      </c>
      <c r="S43" s="8" t="str">
        <f>TRIM(CLEAN(IF(ISERROR(FIND(S$2,Mail!$A41)),"",MID(Mail!$A41,FIND(S$2,Mail!$A41)+LEN(S$2)+1,IF(ISERROR(FIND("■",Mail!$A41,FIND(S$2,Mail!$A41)+LEN(S$2))-FIND(S$2,Mail!$A41)-LEN(S$2)),LEN(Mail!$A41)-60-FIND(S$2,Mail!$A41)-LEN(S$2),FIND("■",Mail!$A41,FIND(S$2,Mail!$A41)+LEN(S$2))-FIND(S$2,Mail!$A41)-LEN(S$2)-1)))))</f>
        <v/>
      </c>
      <c r="T43" s="8" t="str">
        <f>TRIM(CLEAN(IF(ISERROR(FIND(T$2,Mail!$A41)),"",MID(Mail!$A41,FIND(T$2,Mail!$A41)+LEN(T$2)+1,IF(ISERROR(FIND("■",Mail!$A41,FIND(T$2,Mail!$A41)+LEN(T$2))-FIND(T$2,Mail!$A41)-LEN(T$2)),LEN(Mail!$A41)-60-FIND(T$2,Mail!$A41)-LEN(T$2),FIND("■",Mail!$A41,FIND(T$2,Mail!$A41)+LEN(T$2))-FIND(T$2,Mail!$A41)-LEN(T$2)-1)))))</f>
        <v/>
      </c>
      <c r="U43" s="8" t="str">
        <f>TRIM(CLEAN(IF(ISERROR(FIND(U$2,Mail!$A41)),"",MID(Mail!$A41,FIND(U$2,Mail!$A41)+LEN(U$2)+1,IF(ISERROR(FIND("■",Mail!$A41,FIND(U$2,Mail!$A41)+LEN(U$2))-FIND(U$2,Mail!$A41)-LEN(U$2)),LEN(Mail!$A41)-60-FIND(U$2,Mail!$A41)-LEN(U$2),FIND("■",Mail!$A41,FIND(U$2,Mail!$A41)+LEN(U$2))-FIND(U$2,Mail!$A41)-LEN(U$2)-1)))))</f>
        <v/>
      </c>
      <c r="V43" s="8" t="str">
        <f>TRIM(CLEAN(IF(ISERROR(FIND(V$2,Mail!$A41)),"",MID(Mail!$A41,FIND(V$2,Mail!$A41)+LEN(V$2)+1,IF(ISERROR(FIND("■",Mail!$A41,FIND(V$2,Mail!$A41)+LEN(V$2))-FIND(V$2,Mail!$A41)-LEN(V$2)),LEN(Mail!$A41)-60-FIND(V$2,Mail!$A41)-LEN(V$2),FIND("■",Mail!$A41,FIND(V$2,Mail!$A41)+LEN(V$2))-FIND(V$2,Mail!$A41)-LEN(V$2)-1)))))</f>
        <v/>
      </c>
      <c r="W43" s="8" t="str">
        <f>TRIM(CLEAN(IF(ISERROR(FIND(W$2,Mail!$A41)),"",MID(Mail!$A41,FIND(W$2,Mail!$A41)+LEN(W$2)+1,IF(ISERROR(FIND("■",Mail!$A41,FIND(W$2,Mail!$A41)+LEN(W$2))-FIND(W$2,Mail!$A41)-LEN(W$2)),LEN(Mail!$A41)-60-FIND(W$2,Mail!$A41)-LEN(W$2),FIND("■",Mail!$A41,FIND(W$2,Mail!$A41)+LEN(W$2))-FIND(W$2,Mail!$A41)-LEN(W$2)-1)))))</f>
        <v/>
      </c>
      <c r="X43" s="8" t="str">
        <f>TRIM(IF(ISERROR(FIND(X$2,Mail!$A41)),"",MID(Mail!$A41,FIND(X$2,Mail!$A41)+LEN(X$2)+1,IF(ISERROR(FIND("■",Mail!$A41,FIND(X$2,Mail!$A41)+LEN(X$2))-FIND(X$2,Mail!$A41)-LEN(X$2)),LEN(Mail!$A41)-60-FIND(X$2,Mail!$A41)-LEN(X$2),FIND("■",Mail!$A41,FIND(X$2,Mail!$A41)+LEN(X$2))-FIND(X$2,Mail!$A41)-LEN(X$2)-1))))</f>
        <v/>
      </c>
      <c r="Y43" s="8" t="str">
        <f>TRIM(CLEAN(IF(ISERROR(FIND(Y$2,Mail!$A41)),"",MID(Mail!$A41,FIND(Y$2,Mail!$A41)+LEN(Y$2)+1,IF(ISERROR(FIND("■",Mail!$A41,FIND(Y$2,Mail!$A41)+LEN(Y$2))-FIND(Y$2,Mail!$A41)-LEN(Y$2)),LEN(Mail!$A41)-60-FIND(Y$2,Mail!$A41)-LEN(Y$2),FIND("■",Mail!$A41,FIND(Y$2,Mail!$A41)+LEN(Y$2))-FIND(Y$2,Mail!$A41)-LEN(Y$2)-1)))))</f>
        <v/>
      </c>
      <c r="Z43" s="8" t="str">
        <f>TRIM(CLEAN(IF(ISERROR(FIND(Z$2,Mail!$A41)),"",MID(Mail!$A41,FIND(Z$2,Mail!$A41)+LEN(Z$2)+1,IF(ISERROR(FIND("■",Mail!$A41,FIND(Z$2,Mail!$A41)+LEN(Z$2))-FIND(Z$2,Mail!$A41)-LEN(Z$2)),LEN(Mail!$A41)-60-FIND(Z$2,Mail!$A41)-LEN(Z$2),FIND("■",Mail!$A41,FIND(Z$2,Mail!$A41)+LEN(Z$2))-FIND(Z$2,Mail!$A41)-LEN(Z$2)-1)))))</f>
        <v/>
      </c>
      <c r="AA43" s="8" t="str">
        <f>TRIM(CLEAN(IF(ISERROR(FIND(AA$2,Mail!$A41)),"",MID(Mail!$A41,FIND(AA$2,Mail!$A41)+LEN(AA$2)+1,IF(ISERROR(FIND("■",Mail!$A41,FIND(AA$2,Mail!$A41)+LEN(AA$2))-FIND(AA$2,Mail!$A41)-LEN(AA$2)),LEN(Mail!$A41)-60-FIND(AA$2,Mail!$A41)-LEN(AA$2),FIND("■",Mail!$A41,FIND(AA$2,Mail!$A41)+LEN(AA$2))-FIND(AA$2,Mail!$A41)-LEN(AA$2)-1)))))</f>
        <v/>
      </c>
      <c r="AB43" s="8" t="str">
        <f>TRIM(CLEAN(IF(ISERROR(FIND(AB$2,Mail!$A41)),"",MID(Mail!$A41,FIND(AB$2,Mail!$A41)+LEN(AB$2)+1,IF(ISERROR(FIND("■",Mail!$A41,FIND(AB$2,Mail!$A41)+LEN(AB$2))-FIND(AB$2,Mail!$A41)-LEN(AB$2)),LEN(Mail!$A41)-60-FIND(AB$2,Mail!$A41)-LEN(AB$2),FIND("■",Mail!$A41,FIND(AB$2,Mail!$A41)+LEN(AB$2))-FIND(AB$2,Mail!$A41)-LEN(AB$2)-1)))))</f>
        <v/>
      </c>
      <c r="AC43" s="8" t="str">
        <f>TRIM(CLEAN(IF(ISERROR(FIND(AC$2,Mail!$A41)),"",MID(Mail!$A41,FIND(AC$2,Mail!$A41)+LEN(AC$2)+1,IF(ISERROR(FIND("■",Mail!$A41,FIND(AC$2,Mail!$A41)+LEN(AC$2))-FIND(AC$2,Mail!$A41)-LEN(AC$2)),LEN(Mail!$A41)-60-FIND(AC$2,Mail!$A41)-LEN(AC$2),FIND("■",Mail!$A41,FIND(AC$2,Mail!$A41)+LEN(AC$2))-FIND(AC$2,Mail!$A41)-LEN(AC$2)-1)))))</f>
        <v/>
      </c>
      <c r="AD43" s="8" t="str">
        <f>TRIM(CLEAN(IF(ISERROR(FIND(AD$2,Mail!$A41)),"",MID(Mail!$A41,FIND(AD$2,Mail!$A41)+LEN(AD$2)+1,IF(ISERROR(FIND("■",Mail!$A41,FIND(AD$2,Mail!$A41)+LEN(AD$2))-FIND(AD$2,Mail!$A41)-LEN(AD$2)),LEN(Mail!$A41)-60-FIND(AD$2,Mail!$A41)-LEN(AD$2),FIND("■",Mail!$A41,FIND(AD$2,Mail!$A41)+LEN(AD$2))-FIND(AD$2,Mail!$A41)-LEN(AD$2)-1)))))</f>
        <v/>
      </c>
      <c r="AE43" s="8" t="str">
        <f>TRIM(CLEAN(IF(ISERROR(FIND(AE$2,Mail!$A41)),"",MID(Mail!$A41,FIND(AE$2,Mail!$A41)+LEN(AE$2)+1,IF(ISERROR(FIND("■",Mail!$A41,FIND(AE$2,Mail!$A41)+LEN(AE$2))-FIND(AE$2,Mail!$A41)-LEN(AE$2)),LEN(Mail!$A41)-60-FIND(AE$2,Mail!$A41)-LEN(AE$2),FIND("■",Mail!$A41,FIND(AE$2,Mail!$A41)+LEN(AE$2))-FIND(AE$2,Mail!$A41)-LEN(AE$2)-1)))))</f>
        <v/>
      </c>
      <c r="AF43" s="8" t="str">
        <f>TRIM(CLEAN(IF(ISERROR(FIND(AF$2,Mail!$A41)),"",MID(Mail!$A41,FIND(AF$2,Mail!$A41)+LEN(AF$2)+1,IF(ISERROR(FIND("■",Mail!$A41,FIND(AF$2,Mail!$A41)+LEN(AF$2))-FIND(AF$2,Mail!$A41)-LEN(AF$2)),LEN(Mail!$A41)-60-FIND(AF$2,Mail!$A41)-LEN(AF$2),FIND("■",Mail!$A41,FIND(AF$2,Mail!$A41)+LEN(AF$2))-FIND(AF$2,Mail!$A41)-LEN(AF$2)-1)))))</f>
        <v/>
      </c>
      <c r="AG43" s="8" t="str">
        <f>TRIM(IF(ISERROR(FIND(AG$2,Mail!$A41)),"",MID(Mail!$A41,FIND(AG$2,Mail!$A41)+LEN(AG$2)+1,IF(ISERROR(FIND("■",Mail!$A41,FIND(AG$2,Mail!$A41)+LEN(AG$2))-FIND(AG$2,Mail!$A41)-LEN(AG$2)),LEN(Mail!$A41)-60-FIND(AG$2,Mail!$A41)-LEN(AG$2),FIND("■",Mail!$A41,FIND(AG$2,Mail!$A41)+LEN(AG$2))-FIND(AG$2,Mail!$A41)-LEN(AG$2)-1))))</f>
        <v/>
      </c>
      <c r="AH43" s="8" t="str">
        <f>TRIM(IF(ISERROR(FIND(AH$2,Mail!$A41)),"",MID(Mail!$A41,FIND(AH$2,Mail!$A41)+LEN(AH$2)+1,IF(ISERROR(FIND("■",Mail!$A41,FIND(AH$2,Mail!$A41)+LEN(AH$2))-FIND(AH$2,Mail!$A41)-LEN(AH$2)),LEN(Mail!$A41)-60-FIND(AH$2,Mail!$A41)-LEN(AH$2),FIND("■",Mail!$A41,FIND(AH$2,Mail!$A41)+LEN(AH$2))-FIND(AH$2,Mail!$A41)-LEN(AH$2)-1))))</f>
        <v/>
      </c>
      <c r="AI43" s="8" t="str">
        <f>TRIM(IF(ISERROR(FIND(AI$2,Mail!$A41)),"",MID(Mail!$A41,FIND(AI$2,Mail!$A41)+LEN(AI$2)+1,IF(ISERROR(FIND("■",Mail!$A41,FIND(AI$2,Mail!$A41)+LEN(AI$2))-FIND(AI$2,Mail!$A41)-LEN(AI$2)),LEN(Mail!$A41)-60-FIND(AI$2,Mail!$A41)-LEN(AI$2),FIND("■",Mail!$A41,FIND(AI$2,Mail!$A41)+LEN(AI$2))-FIND(AI$2,Mail!$A41)-LEN(AI$2)-1))))</f>
        <v/>
      </c>
    </row>
    <row r="44" spans="1:35" s="8" customFormat="1" x14ac:dyDescent="0.15">
      <c r="A44" s="9" t="str">
        <f t="shared" si="1"/>
        <v/>
      </c>
      <c r="B44" s="8" t="str">
        <f>CLEAN(SUBSTITUTE(IF(ISERROR(FIND("yokohama",Mail!$A42)),"",MID(Mail!$A42,FIND("yokohama",Mail!$A42)+LEN("yokohama")+1,FIND("件目",Mail!$A42,FIND("yokohama",Mail!$A42))-(FIND("yokohama",Mail!$A42)+LEN("yokohama")+1)))," ",""))</f>
        <v/>
      </c>
      <c r="C44" s="9" t="str">
        <f t="shared" si="4"/>
        <v/>
      </c>
      <c r="D44" s="9" t="str">
        <f t="shared" si="2"/>
        <v/>
      </c>
      <c r="E44" s="8" t="str">
        <f t="shared" si="3"/>
        <v/>
      </c>
      <c r="F44" s="8" t="str">
        <f>TRIM(CLEAN(IF(ISERROR(FIND(F$2,Mail!$A42)),"",MID(Mail!$A42,FIND(F$2,Mail!$A42)+LEN(F$2)+1,IF(ISERROR(FIND("■",Mail!$A42,FIND(F$2,Mail!$A42)+LEN(F$2))-FIND(F$2,Mail!$A42)-LEN(F$2)),LEN(Mail!$A42)-60-FIND(F$2,Mail!$A42)-LEN(F$2),FIND("■",Mail!$A42,FIND(F$2,Mail!$A42)+LEN(F$2))-FIND(F$2,Mail!$A42)-LEN(F$2)-1)))))</f>
        <v/>
      </c>
      <c r="G44" s="8" t="str">
        <f>TRIM(CLEAN(IF(ISERROR(FIND(G$2,Mail!$A42)),"",MID(Mail!$A42,FIND(G$2,Mail!$A42)+LEN(G$2)+1,IF(ISERROR(FIND("■",Mail!$A42,FIND(G$2,Mail!$A42)+LEN(G$2))-FIND(G$2,Mail!$A42)-LEN(G$2)),LEN(Mail!$A42)-60-FIND(G$2,Mail!$A42)-LEN(G$2),FIND("■",Mail!$A42,FIND(G$2,Mail!$A42)+LEN(G$2))-FIND(G$2,Mail!$A42)-LEN(G$2)-1)))))</f>
        <v/>
      </c>
      <c r="H44" s="8" t="str">
        <f>TRIM(CLEAN(IF(ISERROR(FIND(H$2,Mail!$A42)),"",MID(Mail!$A42,FIND(H$2,Mail!$A42)+LEN(H$2)+1,IF(ISERROR(FIND("■",Mail!$A42,FIND(H$2,Mail!$A42)+LEN(H$2))-FIND(H$2,Mail!$A42)-LEN(H$2)),LEN(Mail!$A42)-60-FIND(H$2,Mail!$A42)-LEN(H$2),FIND("■",Mail!$A42,FIND(H$2,Mail!$A42)+LEN(H$2))-FIND(H$2,Mail!$A42)-LEN(H$2)-1)))))</f>
        <v/>
      </c>
      <c r="I44" s="8" t="str">
        <f>TRIM(CLEAN(IF(ISERROR(FIND(I$2,Mail!$A42)),"",MID(Mail!$A42,FIND(I$2,Mail!$A42)+LEN(I$2)+1,IF(ISERROR(FIND("■",Mail!$A42,FIND(I$2,Mail!$A42)+LEN(I$2))-FIND(I$2,Mail!$A42)-LEN(I$2)),LEN(Mail!$A42)-60-FIND(I$2,Mail!$A42)-LEN(I$2),FIND("■",Mail!$A42,FIND(I$2,Mail!$A42)+LEN(I$2))-FIND(I$2,Mail!$A42)-LEN(I$2)-1)))))</f>
        <v/>
      </c>
      <c r="J44" s="8" t="str">
        <f>TRIM(IF(ISERROR(FIND(J$2,Mail!$A42)),"",MID(Mail!$A42,FIND(J$2,Mail!$A42)+LEN(J$2)+1,IF(ISERROR(FIND("■",Mail!$A42,FIND(J$2,Mail!$A42)+LEN(J$2))-FIND(J$2,Mail!$A42)-LEN(J$2)),LEN(Mail!$A42)-60-FIND(J$2,Mail!$A42)-LEN(J$2),FIND("■",Mail!$A42,FIND(J$2,Mail!$A42)+LEN(J$2))-FIND(J$2,Mail!$A42)-LEN(J$2)-1))))</f>
        <v/>
      </c>
      <c r="K44" s="8" t="str">
        <f>TRIM(IF(ISERROR(FIND(K$2,Mail!$A42)),"",MID(Mail!$A42,FIND(K$2,Mail!$A42)+LEN(K$2)+1,IF(ISERROR(FIND("■",Mail!$A42,FIND(K$2,Mail!$A42)+LEN(K$2))-FIND(K$2,Mail!$A42)-LEN(K$2)),LEN(Mail!$A42)-60-FIND(K$2,Mail!$A42)-LEN(K$2),FIND("■",Mail!$A42,FIND(K$2,Mail!$A42)+LEN(K$2))-FIND(K$2,Mail!$A42)-LEN(K$2)-1))))</f>
        <v/>
      </c>
      <c r="L44" s="8" t="str">
        <f>TRIM(IF(ISERROR(FIND(L$2,Mail!$A42)),"",MID(Mail!$A42,FIND(L$2,Mail!$A42)+LEN(L$2)+1,IF(ISERROR(FIND("■",Mail!$A42,FIND(L$2,Mail!$A42)+LEN(L$2))-FIND(L$2,Mail!$A42)-LEN(L$2)),LEN(Mail!$A42)-60-FIND(L$2,Mail!$A42)-LEN(L$2),FIND("■",Mail!$A42,FIND(L$2,Mail!$A42)+LEN(L$2))-FIND(L$2,Mail!$A42)-LEN(L$2)-1))))</f>
        <v/>
      </c>
      <c r="M44" s="8" t="str">
        <f>TRIM(CLEAN(IF(ISERROR(FIND(M$2,Mail!$A42)),"",MID(Mail!$A42,FIND(M$2,Mail!$A42)+LEN(M$2)+1,IF(ISERROR(FIND("■",Mail!$A42,FIND(M$2,Mail!$A42)+LEN(M$2))-FIND(M$2,Mail!$A42)-LEN(M$2)),LEN(Mail!$A42)-60-FIND(M$2,Mail!$A42)-LEN(M$2),FIND("■",Mail!$A42,FIND(M$2,Mail!$A42)+LEN(M$2))-FIND(M$2,Mail!$A42)-LEN(M$2)-1)))))</f>
        <v/>
      </c>
      <c r="N44" s="8" t="str">
        <f>TRIM(CLEAN(IF(ISERROR(FIND(N$2,Mail!$A42)),"",MID(Mail!$A42,FIND(N$2,Mail!$A42)+LEN(N$2)+1,IF(ISERROR(FIND("■",Mail!$A42,FIND(N$2,Mail!$A42)+LEN(N$2))-FIND(N$2,Mail!$A42)-LEN(N$2)),LEN(Mail!$A42)-60-FIND(N$2,Mail!$A42)-LEN(N$2),FIND("■",Mail!$A42,FIND(N$2,Mail!$A42)+LEN(N$2))-FIND(N$2,Mail!$A42)-LEN(N$2)-1)))))</f>
        <v/>
      </c>
      <c r="O44" s="8" t="str">
        <f>TRIM(CLEAN(IF(ISERROR(FIND(O$2,Mail!$A42)),"",MID(Mail!$A42,FIND(O$2,Mail!$A42)+LEN(O$2)+1,IF(ISERROR(FIND("■",Mail!$A42,FIND(O$2,Mail!$A42)+LEN(O$2))-FIND(O$2,Mail!$A42)-LEN(O$2)),LEN(Mail!$A42)-60-FIND(O$2,Mail!$A42)-LEN(O$2),FIND("■",Mail!$A42,FIND(O$2,Mail!$A42)+LEN(O$2))-FIND(O$2,Mail!$A42)-LEN(O$2)-1)))))</f>
        <v/>
      </c>
      <c r="P44" s="8" t="str">
        <f>TRIM(CLEAN(IF(ISERROR(FIND(P$2,Mail!$A42)),"",MID(Mail!$A42,FIND(P$2,Mail!$A42)+LEN(P$2)+1,IF(ISERROR(FIND("■",Mail!$A42,FIND(P$2,Mail!$A42)+LEN(P$2))-FIND(P$2,Mail!$A42)-LEN(P$2)),LEN(Mail!$A42)-60-FIND(P$2,Mail!$A42)-LEN(P$2),FIND("■",Mail!$A42,FIND(P$2,Mail!$A42)+LEN(P$2))-FIND(P$2,Mail!$A42)-LEN(P$2)-1)))))</f>
        <v/>
      </c>
      <c r="Q44" s="8" t="str">
        <f>TRIM(CLEAN(IF(ISERROR(FIND(Q$2,Mail!$A42)),"",MID(Mail!$A42,FIND(Q$2,Mail!$A42)+LEN(Q$2)+1,IF(ISERROR(FIND("■",Mail!$A42,FIND(Q$2,Mail!$A42)+LEN(Q$2))-FIND(Q$2,Mail!$A42)-LEN(Q$2)),LEN(Mail!$A42)-60-FIND(Q$2,Mail!$A42)-LEN(Q$2),FIND("■",Mail!$A42,FIND(Q$2,Mail!$A42)+LEN(Q$2))-FIND(Q$2,Mail!$A42)-LEN(Q$2)-1)))))</f>
        <v/>
      </c>
      <c r="R44" s="8" t="str">
        <f>TRIM(CLEAN(IF(ISERROR(FIND(R$2,Mail!$A42)),"",MID(Mail!$A42,FIND(R$2,Mail!$A42)+LEN(R$2)+1,IF(ISERROR(FIND("■",Mail!$A42,FIND(R$2,Mail!$A42)+LEN(R$2))-FIND(R$2,Mail!$A42)-LEN(R$2)),LEN(Mail!$A42)-60-FIND(R$2,Mail!$A42)-LEN(R$2),FIND("■",Mail!$A42,FIND(R$2,Mail!$A42)+LEN(R$2))-FIND(R$2,Mail!$A42)-LEN(R$2)-1)))))</f>
        <v/>
      </c>
      <c r="S44" s="8" t="str">
        <f>TRIM(CLEAN(IF(ISERROR(FIND(S$2,Mail!$A42)),"",MID(Mail!$A42,FIND(S$2,Mail!$A42)+LEN(S$2)+1,IF(ISERROR(FIND("■",Mail!$A42,FIND(S$2,Mail!$A42)+LEN(S$2))-FIND(S$2,Mail!$A42)-LEN(S$2)),LEN(Mail!$A42)-60-FIND(S$2,Mail!$A42)-LEN(S$2),FIND("■",Mail!$A42,FIND(S$2,Mail!$A42)+LEN(S$2))-FIND(S$2,Mail!$A42)-LEN(S$2)-1)))))</f>
        <v/>
      </c>
      <c r="T44" s="8" t="str">
        <f>TRIM(CLEAN(IF(ISERROR(FIND(T$2,Mail!$A42)),"",MID(Mail!$A42,FIND(T$2,Mail!$A42)+LEN(T$2)+1,IF(ISERROR(FIND("■",Mail!$A42,FIND(T$2,Mail!$A42)+LEN(T$2))-FIND(T$2,Mail!$A42)-LEN(T$2)),LEN(Mail!$A42)-60-FIND(T$2,Mail!$A42)-LEN(T$2),FIND("■",Mail!$A42,FIND(T$2,Mail!$A42)+LEN(T$2))-FIND(T$2,Mail!$A42)-LEN(T$2)-1)))))</f>
        <v/>
      </c>
      <c r="U44" s="8" t="str">
        <f>TRIM(CLEAN(IF(ISERROR(FIND(U$2,Mail!$A42)),"",MID(Mail!$A42,FIND(U$2,Mail!$A42)+LEN(U$2)+1,IF(ISERROR(FIND("■",Mail!$A42,FIND(U$2,Mail!$A42)+LEN(U$2))-FIND(U$2,Mail!$A42)-LEN(U$2)),LEN(Mail!$A42)-60-FIND(U$2,Mail!$A42)-LEN(U$2),FIND("■",Mail!$A42,FIND(U$2,Mail!$A42)+LEN(U$2))-FIND(U$2,Mail!$A42)-LEN(U$2)-1)))))</f>
        <v/>
      </c>
      <c r="V44" s="8" t="str">
        <f>TRIM(CLEAN(IF(ISERROR(FIND(V$2,Mail!$A42)),"",MID(Mail!$A42,FIND(V$2,Mail!$A42)+LEN(V$2)+1,IF(ISERROR(FIND("■",Mail!$A42,FIND(V$2,Mail!$A42)+LEN(V$2))-FIND(V$2,Mail!$A42)-LEN(V$2)),LEN(Mail!$A42)-60-FIND(V$2,Mail!$A42)-LEN(V$2),FIND("■",Mail!$A42,FIND(V$2,Mail!$A42)+LEN(V$2))-FIND(V$2,Mail!$A42)-LEN(V$2)-1)))))</f>
        <v/>
      </c>
      <c r="W44" s="8" t="str">
        <f>TRIM(CLEAN(IF(ISERROR(FIND(W$2,Mail!$A42)),"",MID(Mail!$A42,FIND(W$2,Mail!$A42)+LEN(W$2)+1,IF(ISERROR(FIND("■",Mail!$A42,FIND(W$2,Mail!$A42)+LEN(W$2))-FIND(W$2,Mail!$A42)-LEN(W$2)),LEN(Mail!$A42)-60-FIND(W$2,Mail!$A42)-LEN(W$2),FIND("■",Mail!$A42,FIND(W$2,Mail!$A42)+LEN(W$2))-FIND(W$2,Mail!$A42)-LEN(W$2)-1)))))</f>
        <v/>
      </c>
      <c r="X44" s="8" t="str">
        <f>TRIM(IF(ISERROR(FIND(X$2,Mail!$A42)),"",MID(Mail!$A42,FIND(X$2,Mail!$A42)+LEN(X$2)+1,IF(ISERROR(FIND("■",Mail!$A42,FIND(X$2,Mail!$A42)+LEN(X$2))-FIND(X$2,Mail!$A42)-LEN(X$2)),LEN(Mail!$A42)-60-FIND(X$2,Mail!$A42)-LEN(X$2),FIND("■",Mail!$A42,FIND(X$2,Mail!$A42)+LEN(X$2))-FIND(X$2,Mail!$A42)-LEN(X$2)-1))))</f>
        <v/>
      </c>
      <c r="Y44" s="8" t="str">
        <f>TRIM(CLEAN(IF(ISERROR(FIND(Y$2,Mail!$A42)),"",MID(Mail!$A42,FIND(Y$2,Mail!$A42)+LEN(Y$2)+1,IF(ISERROR(FIND("■",Mail!$A42,FIND(Y$2,Mail!$A42)+LEN(Y$2))-FIND(Y$2,Mail!$A42)-LEN(Y$2)),LEN(Mail!$A42)-60-FIND(Y$2,Mail!$A42)-LEN(Y$2),FIND("■",Mail!$A42,FIND(Y$2,Mail!$A42)+LEN(Y$2))-FIND(Y$2,Mail!$A42)-LEN(Y$2)-1)))))</f>
        <v/>
      </c>
      <c r="Z44" s="8" t="str">
        <f>TRIM(CLEAN(IF(ISERROR(FIND(Z$2,Mail!$A42)),"",MID(Mail!$A42,FIND(Z$2,Mail!$A42)+LEN(Z$2)+1,IF(ISERROR(FIND("■",Mail!$A42,FIND(Z$2,Mail!$A42)+LEN(Z$2))-FIND(Z$2,Mail!$A42)-LEN(Z$2)),LEN(Mail!$A42)-60-FIND(Z$2,Mail!$A42)-LEN(Z$2),FIND("■",Mail!$A42,FIND(Z$2,Mail!$A42)+LEN(Z$2))-FIND(Z$2,Mail!$A42)-LEN(Z$2)-1)))))</f>
        <v/>
      </c>
      <c r="AA44" s="8" t="str">
        <f>TRIM(CLEAN(IF(ISERROR(FIND(AA$2,Mail!$A42)),"",MID(Mail!$A42,FIND(AA$2,Mail!$A42)+LEN(AA$2)+1,IF(ISERROR(FIND("■",Mail!$A42,FIND(AA$2,Mail!$A42)+LEN(AA$2))-FIND(AA$2,Mail!$A42)-LEN(AA$2)),LEN(Mail!$A42)-60-FIND(AA$2,Mail!$A42)-LEN(AA$2),FIND("■",Mail!$A42,FIND(AA$2,Mail!$A42)+LEN(AA$2))-FIND(AA$2,Mail!$A42)-LEN(AA$2)-1)))))</f>
        <v/>
      </c>
      <c r="AB44" s="8" t="str">
        <f>TRIM(CLEAN(IF(ISERROR(FIND(AB$2,Mail!$A42)),"",MID(Mail!$A42,FIND(AB$2,Mail!$A42)+LEN(AB$2)+1,IF(ISERROR(FIND("■",Mail!$A42,FIND(AB$2,Mail!$A42)+LEN(AB$2))-FIND(AB$2,Mail!$A42)-LEN(AB$2)),LEN(Mail!$A42)-60-FIND(AB$2,Mail!$A42)-LEN(AB$2),FIND("■",Mail!$A42,FIND(AB$2,Mail!$A42)+LEN(AB$2))-FIND(AB$2,Mail!$A42)-LEN(AB$2)-1)))))</f>
        <v/>
      </c>
      <c r="AC44" s="8" t="str">
        <f>TRIM(CLEAN(IF(ISERROR(FIND(AC$2,Mail!$A42)),"",MID(Mail!$A42,FIND(AC$2,Mail!$A42)+LEN(AC$2)+1,IF(ISERROR(FIND("■",Mail!$A42,FIND(AC$2,Mail!$A42)+LEN(AC$2))-FIND(AC$2,Mail!$A42)-LEN(AC$2)),LEN(Mail!$A42)-60-FIND(AC$2,Mail!$A42)-LEN(AC$2),FIND("■",Mail!$A42,FIND(AC$2,Mail!$A42)+LEN(AC$2))-FIND(AC$2,Mail!$A42)-LEN(AC$2)-1)))))</f>
        <v/>
      </c>
      <c r="AD44" s="8" t="str">
        <f>TRIM(CLEAN(IF(ISERROR(FIND(AD$2,Mail!$A42)),"",MID(Mail!$A42,FIND(AD$2,Mail!$A42)+LEN(AD$2)+1,IF(ISERROR(FIND("■",Mail!$A42,FIND(AD$2,Mail!$A42)+LEN(AD$2))-FIND(AD$2,Mail!$A42)-LEN(AD$2)),LEN(Mail!$A42)-60-FIND(AD$2,Mail!$A42)-LEN(AD$2),FIND("■",Mail!$A42,FIND(AD$2,Mail!$A42)+LEN(AD$2))-FIND(AD$2,Mail!$A42)-LEN(AD$2)-1)))))</f>
        <v/>
      </c>
      <c r="AE44" s="8" t="str">
        <f>TRIM(CLEAN(IF(ISERROR(FIND(AE$2,Mail!$A42)),"",MID(Mail!$A42,FIND(AE$2,Mail!$A42)+LEN(AE$2)+1,IF(ISERROR(FIND("■",Mail!$A42,FIND(AE$2,Mail!$A42)+LEN(AE$2))-FIND(AE$2,Mail!$A42)-LEN(AE$2)),LEN(Mail!$A42)-60-FIND(AE$2,Mail!$A42)-LEN(AE$2),FIND("■",Mail!$A42,FIND(AE$2,Mail!$A42)+LEN(AE$2))-FIND(AE$2,Mail!$A42)-LEN(AE$2)-1)))))</f>
        <v/>
      </c>
      <c r="AF44" s="8" t="str">
        <f>TRIM(CLEAN(IF(ISERROR(FIND(AF$2,Mail!$A42)),"",MID(Mail!$A42,FIND(AF$2,Mail!$A42)+LEN(AF$2)+1,IF(ISERROR(FIND("■",Mail!$A42,FIND(AF$2,Mail!$A42)+LEN(AF$2))-FIND(AF$2,Mail!$A42)-LEN(AF$2)),LEN(Mail!$A42)-60-FIND(AF$2,Mail!$A42)-LEN(AF$2),FIND("■",Mail!$A42,FIND(AF$2,Mail!$A42)+LEN(AF$2))-FIND(AF$2,Mail!$A42)-LEN(AF$2)-1)))))</f>
        <v/>
      </c>
      <c r="AG44" s="8" t="str">
        <f>TRIM(IF(ISERROR(FIND(AG$2,Mail!$A42)),"",MID(Mail!$A42,FIND(AG$2,Mail!$A42)+LEN(AG$2)+1,IF(ISERROR(FIND("■",Mail!$A42,FIND(AG$2,Mail!$A42)+LEN(AG$2))-FIND(AG$2,Mail!$A42)-LEN(AG$2)),LEN(Mail!$A42)-60-FIND(AG$2,Mail!$A42)-LEN(AG$2),FIND("■",Mail!$A42,FIND(AG$2,Mail!$A42)+LEN(AG$2))-FIND(AG$2,Mail!$A42)-LEN(AG$2)-1))))</f>
        <v/>
      </c>
      <c r="AH44" s="8" t="str">
        <f>TRIM(IF(ISERROR(FIND(AH$2,Mail!$A42)),"",MID(Mail!$A42,FIND(AH$2,Mail!$A42)+LEN(AH$2)+1,IF(ISERROR(FIND("■",Mail!$A42,FIND(AH$2,Mail!$A42)+LEN(AH$2))-FIND(AH$2,Mail!$A42)-LEN(AH$2)),LEN(Mail!$A42)-60-FIND(AH$2,Mail!$A42)-LEN(AH$2),FIND("■",Mail!$A42,FIND(AH$2,Mail!$A42)+LEN(AH$2))-FIND(AH$2,Mail!$A42)-LEN(AH$2)-1))))</f>
        <v/>
      </c>
      <c r="AI44" s="8" t="str">
        <f>TRIM(IF(ISERROR(FIND(AI$2,Mail!$A42)),"",MID(Mail!$A42,FIND(AI$2,Mail!$A42)+LEN(AI$2)+1,IF(ISERROR(FIND("■",Mail!$A42,FIND(AI$2,Mail!$A42)+LEN(AI$2))-FIND(AI$2,Mail!$A42)-LEN(AI$2)),LEN(Mail!$A42)-60-FIND(AI$2,Mail!$A42)-LEN(AI$2),FIND("■",Mail!$A42,FIND(AI$2,Mail!$A42)+LEN(AI$2))-FIND(AI$2,Mail!$A42)-LEN(AI$2)-1))))</f>
        <v/>
      </c>
    </row>
    <row r="45" spans="1:35" s="8" customFormat="1" x14ac:dyDescent="0.15">
      <c r="A45" s="9" t="str">
        <f t="shared" si="1"/>
        <v/>
      </c>
      <c r="B45" s="8" t="str">
        <f>CLEAN(SUBSTITUTE(IF(ISERROR(FIND("yokohama",Mail!$A43)),"",MID(Mail!$A43,FIND("yokohama",Mail!$A43)+LEN("yokohama")+1,FIND("件目",Mail!$A43,FIND("yokohama",Mail!$A43))-(FIND("yokohama",Mail!$A43)+LEN("yokohama")+1)))," ",""))</f>
        <v/>
      </c>
      <c r="C45" s="9" t="str">
        <f t="shared" si="4"/>
        <v/>
      </c>
      <c r="D45" s="9" t="str">
        <f t="shared" si="2"/>
        <v/>
      </c>
      <c r="E45" s="8" t="str">
        <f t="shared" si="3"/>
        <v/>
      </c>
      <c r="F45" s="8" t="str">
        <f>TRIM(CLEAN(IF(ISERROR(FIND(F$2,Mail!$A43)),"",MID(Mail!$A43,FIND(F$2,Mail!$A43)+LEN(F$2)+1,IF(ISERROR(FIND("■",Mail!$A43,FIND(F$2,Mail!$A43)+LEN(F$2))-FIND(F$2,Mail!$A43)-LEN(F$2)),LEN(Mail!$A43)-60-FIND(F$2,Mail!$A43)-LEN(F$2),FIND("■",Mail!$A43,FIND(F$2,Mail!$A43)+LEN(F$2))-FIND(F$2,Mail!$A43)-LEN(F$2)-1)))))</f>
        <v/>
      </c>
      <c r="G45" s="8" t="str">
        <f>TRIM(CLEAN(IF(ISERROR(FIND(G$2,Mail!$A43)),"",MID(Mail!$A43,FIND(G$2,Mail!$A43)+LEN(G$2)+1,IF(ISERROR(FIND("■",Mail!$A43,FIND(G$2,Mail!$A43)+LEN(G$2))-FIND(G$2,Mail!$A43)-LEN(G$2)),LEN(Mail!$A43)-60-FIND(G$2,Mail!$A43)-LEN(G$2),FIND("■",Mail!$A43,FIND(G$2,Mail!$A43)+LEN(G$2))-FIND(G$2,Mail!$A43)-LEN(G$2)-1)))))</f>
        <v/>
      </c>
      <c r="H45" s="8" t="str">
        <f>TRIM(CLEAN(IF(ISERROR(FIND(H$2,Mail!$A43)),"",MID(Mail!$A43,FIND(H$2,Mail!$A43)+LEN(H$2)+1,IF(ISERROR(FIND("■",Mail!$A43,FIND(H$2,Mail!$A43)+LEN(H$2))-FIND(H$2,Mail!$A43)-LEN(H$2)),LEN(Mail!$A43)-60-FIND(H$2,Mail!$A43)-LEN(H$2),FIND("■",Mail!$A43,FIND(H$2,Mail!$A43)+LEN(H$2))-FIND(H$2,Mail!$A43)-LEN(H$2)-1)))))</f>
        <v/>
      </c>
      <c r="I45" s="8" t="str">
        <f>TRIM(CLEAN(IF(ISERROR(FIND(I$2,Mail!$A43)),"",MID(Mail!$A43,FIND(I$2,Mail!$A43)+LEN(I$2)+1,IF(ISERROR(FIND("■",Mail!$A43,FIND(I$2,Mail!$A43)+LEN(I$2))-FIND(I$2,Mail!$A43)-LEN(I$2)),LEN(Mail!$A43)-60-FIND(I$2,Mail!$A43)-LEN(I$2),FIND("■",Mail!$A43,FIND(I$2,Mail!$A43)+LEN(I$2))-FIND(I$2,Mail!$A43)-LEN(I$2)-1)))))</f>
        <v/>
      </c>
      <c r="J45" s="8" t="str">
        <f>TRIM(IF(ISERROR(FIND(J$2,Mail!$A43)),"",MID(Mail!$A43,FIND(J$2,Mail!$A43)+LEN(J$2)+1,IF(ISERROR(FIND("■",Mail!$A43,FIND(J$2,Mail!$A43)+LEN(J$2))-FIND(J$2,Mail!$A43)-LEN(J$2)),LEN(Mail!$A43)-60-FIND(J$2,Mail!$A43)-LEN(J$2),FIND("■",Mail!$A43,FIND(J$2,Mail!$A43)+LEN(J$2))-FIND(J$2,Mail!$A43)-LEN(J$2)-1))))</f>
        <v/>
      </c>
      <c r="K45" s="8" t="str">
        <f>TRIM(IF(ISERROR(FIND(K$2,Mail!$A43)),"",MID(Mail!$A43,FIND(K$2,Mail!$A43)+LEN(K$2)+1,IF(ISERROR(FIND("■",Mail!$A43,FIND(K$2,Mail!$A43)+LEN(K$2))-FIND(K$2,Mail!$A43)-LEN(K$2)),LEN(Mail!$A43)-60-FIND(K$2,Mail!$A43)-LEN(K$2),FIND("■",Mail!$A43,FIND(K$2,Mail!$A43)+LEN(K$2))-FIND(K$2,Mail!$A43)-LEN(K$2)-1))))</f>
        <v/>
      </c>
      <c r="L45" s="8" t="str">
        <f>TRIM(IF(ISERROR(FIND(L$2,Mail!$A43)),"",MID(Mail!$A43,FIND(L$2,Mail!$A43)+LEN(L$2)+1,IF(ISERROR(FIND("■",Mail!$A43,FIND(L$2,Mail!$A43)+LEN(L$2))-FIND(L$2,Mail!$A43)-LEN(L$2)),LEN(Mail!$A43)-60-FIND(L$2,Mail!$A43)-LEN(L$2),FIND("■",Mail!$A43,FIND(L$2,Mail!$A43)+LEN(L$2))-FIND(L$2,Mail!$A43)-LEN(L$2)-1))))</f>
        <v/>
      </c>
      <c r="M45" s="8" t="str">
        <f>TRIM(CLEAN(IF(ISERROR(FIND(M$2,Mail!$A43)),"",MID(Mail!$A43,FIND(M$2,Mail!$A43)+LEN(M$2)+1,IF(ISERROR(FIND("■",Mail!$A43,FIND(M$2,Mail!$A43)+LEN(M$2))-FIND(M$2,Mail!$A43)-LEN(M$2)),LEN(Mail!$A43)-60-FIND(M$2,Mail!$A43)-LEN(M$2),FIND("■",Mail!$A43,FIND(M$2,Mail!$A43)+LEN(M$2))-FIND(M$2,Mail!$A43)-LEN(M$2)-1)))))</f>
        <v/>
      </c>
      <c r="N45" s="8" t="str">
        <f>TRIM(CLEAN(IF(ISERROR(FIND(N$2,Mail!$A43)),"",MID(Mail!$A43,FIND(N$2,Mail!$A43)+LEN(N$2)+1,IF(ISERROR(FIND("■",Mail!$A43,FIND(N$2,Mail!$A43)+LEN(N$2))-FIND(N$2,Mail!$A43)-LEN(N$2)),LEN(Mail!$A43)-60-FIND(N$2,Mail!$A43)-LEN(N$2),FIND("■",Mail!$A43,FIND(N$2,Mail!$A43)+LEN(N$2))-FIND(N$2,Mail!$A43)-LEN(N$2)-1)))))</f>
        <v/>
      </c>
      <c r="O45" s="8" t="str">
        <f>TRIM(CLEAN(IF(ISERROR(FIND(O$2,Mail!$A43)),"",MID(Mail!$A43,FIND(O$2,Mail!$A43)+LEN(O$2)+1,IF(ISERROR(FIND("■",Mail!$A43,FIND(O$2,Mail!$A43)+LEN(O$2))-FIND(O$2,Mail!$A43)-LEN(O$2)),LEN(Mail!$A43)-60-FIND(O$2,Mail!$A43)-LEN(O$2),FIND("■",Mail!$A43,FIND(O$2,Mail!$A43)+LEN(O$2))-FIND(O$2,Mail!$A43)-LEN(O$2)-1)))))</f>
        <v/>
      </c>
      <c r="P45" s="8" t="str">
        <f>TRIM(CLEAN(IF(ISERROR(FIND(P$2,Mail!$A43)),"",MID(Mail!$A43,FIND(P$2,Mail!$A43)+LEN(P$2)+1,IF(ISERROR(FIND("■",Mail!$A43,FIND(P$2,Mail!$A43)+LEN(P$2))-FIND(P$2,Mail!$A43)-LEN(P$2)),LEN(Mail!$A43)-60-FIND(P$2,Mail!$A43)-LEN(P$2),FIND("■",Mail!$A43,FIND(P$2,Mail!$A43)+LEN(P$2))-FIND(P$2,Mail!$A43)-LEN(P$2)-1)))))</f>
        <v/>
      </c>
      <c r="Q45" s="8" t="str">
        <f>TRIM(CLEAN(IF(ISERROR(FIND(Q$2,Mail!$A43)),"",MID(Mail!$A43,FIND(Q$2,Mail!$A43)+LEN(Q$2)+1,IF(ISERROR(FIND("■",Mail!$A43,FIND(Q$2,Mail!$A43)+LEN(Q$2))-FIND(Q$2,Mail!$A43)-LEN(Q$2)),LEN(Mail!$A43)-60-FIND(Q$2,Mail!$A43)-LEN(Q$2),FIND("■",Mail!$A43,FIND(Q$2,Mail!$A43)+LEN(Q$2))-FIND(Q$2,Mail!$A43)-LEN(Q$2)-1)))))</f>
        <v/>
      </c>
      <c r="R45" s="8" t="str">
        <f>TRIM(CLEAN(IF(ISERROR(FIND(R$2,Mail!$A43)),"",MID(Mail!$A43,FIND(R$2,Mail!$A43)+LEN(R$2)+1,IF(ISERROR(FIND("■",Mail!$A43,FIND(R$2,Mail!$A43)+LEN(R$2))-FIND(R$2,Mail!$A43)-LEN(R$2)),LEN(Mail!$A43)-60-FIND(R$2,Mail!$A43)-LEN(R$2),FIND("■",Mail!$A43,FIND(R$2,Mail!$A43)+LEN(R$2))-FIND(R$2,Mail!$A43)-LEN(R$2)-1)))))</f>
        <v/>
      </c>
      <c r="S45" s="8" t="str">
        <f>TRIM(CLEAN(IF(ISERROR(FIND(S$2,Mail!$A43)),"",MID(Mail!$A43,FIND(S$2,Mail!$A43)+LEN(S$2)+1,IF(ISERROR(FIND("■",Mail!$A43,FIND(S$2,Mail!$A43)+LEN(S$2))-FIND(S$2,Mail!$A43)-LEN(S$2)),LEN(Mail!$A43)-60-FIND(S$2,Mail!$A43)-LEN(S$2),FIND("■",Mail!$A43,FIND(S$2,Mail!$A43)+LEN(S$2))-FIND(S$2,Mail!$A43)-LEN(S$2)-1)))))</f>
        <v/>
      </c>
      <c r="T45" s="8" t="str">
        <f>TRIM(CLEAN(IF(ISERROR(FIND(T$2,Mail!$A43)),"",MID(Mail!$A43,FIND(T$2,Mail!$A43)+LEN(T$2)+1,IF(ISERROR(FIND("■",Mail!$A43,FIND(T$2,Mail!$A43)+LEN(T$2))-FIND(T$2,Mail!$A43)-LEN(T$2)),LEN(Mail!$A43)-60-FIND(T$2,Mail!$A43)-LEN(T$2),FIND("■",Mail!$A43,FIND(T$2,Mail!$A43)+LEN(T$2))-FIND(T$2,Mail!$A43)-LEN(T$2)-1)))))</f>
        <v/>
      </c>
      <c r="U45" s="8" t="str">
        <f>TRIM(CLEAN(IF(ISERROR(FIND(U$2,Mail!$A43)),"",MID(Mail!$A43,FIND(U$2,Mail!$A43)+LEN(U$2)+1,IF(ISERROR(FIND("■",Mail!$A43,FIND(U$2,Mail!$A43)+LEN(U$2))-FIND(U$2,Mail!$A43)-LEN(U$2)),LEN(Mail!$A43)-60-FIND(U$2,Mail!$A43)-LEN(U$2),FIND("■",Mail!$A43,FIND(U$2,Mail!$A43)+LEN(U$2))-FIND(U$2,Mail!$A43)-LEN(U$2)-1)))))</f>
        <v/>
      </c>
      <c r="V45" s="8" t="str">
        <f>TRIM(CLEAN(IF(ISERROR(FIND(V$2,Mail!$A43)),"",MID(Mail!$A43,FIND(V$2,Mail!$A43)+LEN(V$2)+1,IF(ISERROR(FIND("■",Mail!$A43,FIND(V$2,Mail!$A43)+LEN(V$2))-FIND(V$2,Mail!$A43)-LEN(V$2)),LEN(Mail!$A43)-60-FIND(V$2,Mail!$A43)-LEN(V$2),FIND("■",Mail!$A43,FIND(V$2,Mail!$A43)+LEN(V$2))-FIND(V$2,Mail!$A43)-LEN(V$2)-1)))))</f>
        <v/>
      </c>
      <c r="W45" s="8" t="str">
        <f>TRIM(CLEAN(IF(ISERROR(FIND(W$2,Mail!$A43)),"",MID(Mail!$A43,FIND(W$2,Mail!$A43)+LEN(W$2)+1,IF(ISERROR(FIND("■",Mail!$A43,FIND(W$2,Mail!$A43)+LEN(W$2))-FIND(W$2,Mail!$A43)-LEN(W$2)),LEN(Mail!$A43)-60-FIND(W$2,Mail!$A43)-LEN(W$2),FIND("■",Mail!$A43,FIND(W$2,Mail!$A43)+LEN(W$2))-FIND(W$2,Mail!$A43)-LEN(W$2)-1)))))</f>
        <v/>
      </c>
      <c r="X45" s="8" t="str">
        <f>TRIM(IF(ISERROR(FIND(X$2,Mail!$A43)),"",MID(Mail!$A43,FIND(X$2,Mail!$A43)+LEN(X$2)+1,IF(ISERROR(FIND("■",Mail!$A43,FIND(X$2,Mail!$A43)+LEN(X$2))-FIND(X$2,Mail!$A43)-LEN(X$2)),LEN(Mail!$A43)-60-FIND(X$2,Mail!$A43)-LEN(X$2),FIND("■",Mail!$A43,FIND(X$2,Mail!$A43)+LEN(X$2))-FIND(X$2,Mail!$A43)-LEN(X$2)-1))))</f>
        <v/>
      </c>
      <c r="Y45" s="8" t="str">
        <f>TRIM(CLEAN(IF(ISERROR(FIND(Y$2,Mail!$A43)),"",MID(Mail!$A43,FIND(Y$2,Mail!$A43)+LEN(Y$2)+1,IF(ISERROR(FIND("■",Mail!$A43,FIND(Y$2,Mail!$A43)+LEN(Y$2))-FIND(Y$2,Mail!$A43)-LEN(Y$2)),LEN(Mail!$A43)-60-FIND(Y$2,Mail!$A43)-LEN(Y$2),FIND("■",Mail!$A43,FIND(Y$2,Mail!$A43)+LEN(Y$2))-FIND(Y$2,Mail!$A43)-LEN(Y$2)-1)))))</f>
        <v/>
      </c>
      <c r="Z45" s="8" t="str">
        <f>TRIM(CLEAN(IF(ISERROR(FIND(Z$2,Mail!$A43)),"",MID(Mail!$A43,FIND(Z$2,Mail!$A43)+LEN(Z$2)+1,IF(ISERROR(FIND("■",Mail!$A43,FIND(Z$2,Mail!$A43)+LEN(Z$2))-FIND(Z$2,Mail!$A43)-LEN(Z$2)),LEN(Mail!$A43)-60-FIND(Z$2,Mail!$A43)-LEN(Z$2),FIND("■",Mail!$A43,FIND(Z$2,Mail!$A43)+LEN(Z$2))-FIND(Z$2,Mail!$A43)-LEN(Z$2)-1)))))</f>
        <v/>
      </c>
      <c r="AA45" s="8" t="str">
        <f>TRIM(CLEAN(IF(ISERROR(FIND(AA$2,Mail!$A43)),"",MID(Mail!$A43,FIND(AA$2,Mail!$A43)+LEN(AA$2)+1,IF(ISERROR(FIND("■",Mail!$A43,FIND(AA$2,Mail!$A43)+LEN(AA$2))-FIND(AA$2,Mail!$A43)-LEN(AA$2)),LEN(Mail!$A43)-60-FIND(AA$2,Mail!$A43)-LEN(AA$2),FIND("■",Mail!$A43,FIND(AA$2,Mail!$A43)+LEN(AA$2))-FIND(AA$2,Mail!$A43)-LEN(AA$2)-1)))))</f>
        <v/>
      </c>
      <c r="AB45" s="8" t="str">
        <f>TRIM(CLEAN(IF(ISERROR(FIND(AB$2,Mail!$A43)),"",MID(Mail!$A43,FIND(AB$2,Mail!$A43)+LEN(AB$2)+1,IF(ISERROR(FIND("■",Mail!$A43,FIND(AB$2,Mail!$A43)+LEN(AB$2))-FIND(AB$2,Mail!$A43)-LEN(AB$2)),LEN(Mail!$A43)-60-FIND(AB$2,Mail!$A43)-LEN(AB$2),FIND("■",Mail!$A43,FIND(AB$2,Mail!$A43)+LEN(AB$2))-FIND(AB$2,Mail!$A43)-LEN(AB$2)-1)))))</f>
        <v/>
      </c>
      <c r="AC45" s="8" t="str">
        <f>TRIM(CLEAN(IF(ISERROR(FIND(AC$2,Mail!$A43)),"",MID(Mail!$A43,FIND(AC$2,Mail!$A43)+LEN(AC$2)+1,IF(ISERROR(FIND("■",Mail!$A43,FIND(AC$2,Mail!$A43)+LEN(AC$2))-FIND(AC$2,Mail!$A43)-LEN(AC$2)),LEN(Mail!$A43)-60-FIND(AC$2,Mail!$A43)-LEN(AC$2),FIND("■",Mail!$A43,FIND(AC$2,Mail!$A43)+LEN(AC$2))-FIND(AC$2,Mail!$A43)-LEN(AC$2)-1)))))</f>
        <v/>
      </c>
      <c r="AD45" s="8" t="str">
        <f>TRIM(CLEAN(IF(ISERROR(FIND(AD$2,Mail!$A43)),"",MID(Mail!$A43,FIND(AD$2,Mail!$A43)+LEN(AD$2)+1,IF(ISERROR(FIND("■",Mail!$A43,FIND(AD$2,Mail!$A43)+LEN(AD$2))-FIND(AD$2,Mail!$A43)-LEN(AD$2)),LEN(Mail!$A43)-60-FIND(AD$2,Mail!$A43)-LEN(AD$2),FIND("■",Mail!$A43,FIND(AD$2,Mail!$A43)+LEN(AD$2))-FIND(AD$2,Mail!$A43)-LEN(AD$2)-1)))))</f>
        <v/>
      </c>
      <c r="AE45" s="8" t="str">
        <f>TRIM(CLEAN(IF(ISERROR(FIND(AE$2,Mail!$A43)),"",MID(Mail!$A43,FIND(AE$2,Mail!$A43)+LEN(AE$2)+1,IF(ISERROR(FIND("■",Mail!$A43,FIND(AE$2,Mail!$A43)+LEN(AE$2))-FIND(AE$2,Mail!$A43)-LEN(AE$2)),LEN(Mail!$A43)-60-FIND(AE$2,Mail!$A43)-LEN(AE$2),FIND("■",Mail!$A43,FIND(AE$2,Mail!$A43)+LEN(AE$2))-FIND(AE$2,Mail!$A43)-LEN(AE$2)-1)))))</f>
        <v/>
      </c>
      <c r="AF45" s="8" t="str">
        <f>TRIM(CLEAN(IF(ISERROR(FIND(AF$2,Mail!$A43)),"",MID(Mail!$A43,FIND(AF$2,Mail!$A43)+LEN(AF$2)+1,IF(ISERROR(FIND("■",Mail!$A43,FIND(AF$2,Mail!$A43)+LEN(AF$2))-FIND(AF$2,Mail!$A43)-LEN(AF$2)),LEN(Mail!$A43)-60-FIND(AF$2,Mail!$A43)-LEN(AF$2),FIND("■",Mail!$A43,FIND(AF$2,Mail!$A43)+LEN(AF$2))-FIND(AF$2,Mail!$A43)-LEN(AF$2)-1)))))</f>
        <v/>
      </c>
      <c r="AG45" s="8" t="str">
        <f>TRIM(IF(ISERROR(FIND(AG$2,Mail!$A43)),"",MID(Mail!$A43,FIND(AG$2,Mail!$A43)+LEN(AG$2)+1,IF(ISERROR(FIND("■",Mail!$A43,FIND(AG$2,Mail!$A43)+LEN(AG$2))-FIND(AG$2,Mail!$A43)-LEN(AG$2)),LEN(Mail!$A43)-60-FIND(AG$2,Mail!$A43)-LEN(AG$2),FIND("■",Mail!$A43,FIND(AG$2,Mail!$A43)+LEN(AG$2))-FIND(AG$2,Mail!$A43)-LEN(AG$2)-1))))</f>
        <v/>
      </c>
      <c r="AH45" s="8" t="str">
        <f>TRIM(IF(ISERROR(FIND(AH$2,Mail!$A43)),"",MID(Mail!$A43,FIND(AH$2,Mail!$A43)+LEN(AH$2)+1,IF(ISERROR(FIND("■",Mail!$A43,FIND(AH$2,Mail!$A43)+LEN(AH$2))-FIND(AH$2,Mail!$A43)-LEN(AH$2)),LEN(Mail!$A43)-60-FIND(AH$2,Mail!$A43)-LEN(AH$2),FIND("■",Mail!$A43,FIND(AH$2,Mail!$A43)+LEN(AH$2))-FIND(AH$2,Mail!$A43)-LEN(AH$2)-1))))</f>
        <v/>
      </c>
      <c r="AI45" s="8" t="str">
        <f>TRIM(IF(ISERROR(FIND(AI$2,Mail!$A43)),"",MID(Mail!$A43,FIND(AI$2,Mail!$A43)+LEN(AI$2)+1,IF(ISERROR(FIND("■",Mail!$A43,FIND(AI$2,Mail!$A43)+LEN(AI$2))-FIND(AI$2,Mail!$A43)-LEN(AI$2)),LEN(Mail!$A43)-60-FIND(AI$2,Mail!$A43)-LEN(AI$2),FIND("■",Mail!$A43,FIND(AI$2,Mail!$A43)+LEN(AI$2))-FIND(AI$2,Mail!$A43)-LEN(AI$2)-1))))</f>
        <v/>
      </c>
    </row>
    <row r="46" spans="1:35" s="8" customFormat="1" x14ac:dyDescent="0.15">
      <c r="A46" s="9" t="str">
        <f t="shared" si="1"/>
        <v/>
      </c>
      <c r="B46" s="8" t="str">
        <f>CLEAN(SUBSTITUTE(IF(ISERROR(FIND("yokohama",Mail!$A44)),"",MID(Mail!$A44,FIND("yokohama",Mail!$A44)+LEN("yokohama")+1,FIND("件目",Mail!$A44,FIND("yokohama",Mail!$A44))-(FIND("yokohama",Mail!$A44)+LEN("yokohama")+1)))," ",""))</f>
        <v/>
      </c>
      <c r="C46" s="9" t="str">
        <f t="shared" si="4"/>
        <v/>
      </c>
      <c r="D46" s="9" t="str">
        <f t="shared" si="2"/>
        <v/>
      </c>
      <c r="E46" s="8" t="str">
        <f t="shared" si="3"/>
        <v/>
      </c>
      <c r="F46" s="8" t="str">
        <f>TRIM(CLEAN(IF(ISERROR(FIND(F$2,Mail!$A44)),"",MID(Mail!$A44,FIND(F$2,Mail!$A44)+LEN(F$2)+1,IF(ISERROR(FIND("■",Mail!$A44,FIND(F$2,Mail!$A44)+LEN(F$2))-FIND(F$2,Mail!$A44)-LEN(F$2)),LEN(Mail!$A44)-60-FIND(F$2,Mail!$A44)-LEN(F$2),FIND("■",Mail!$A44,FIND(F$2,Mail!$A44)+LEN(F$2))-FIND(F$2,Mail!$A44)-LEN(F$2)-1)))))</f>
        <v/>
      </c>
      <c r="G46" s="8" t="str">
        <f>TRIM(CLEAN(IF(ISERROR(FIND(G$2,Mail!$A44)),"",MID(Mail!$A44,FIND(G$2,Mail!$A44)+LEN(G$2)+1,IF(ISERROR(FIND("■",Mail!$A44,FIND(G$2,Mail!$A44)+LEN(G$2))-FIND(G$2,Mail!$A44)-LEN(G$2)),LEN(Mail!$A44)-60-FIND(G$2,Mail!$A44)-LEN(G$2),FIND("■",Mail!$A44,FIND(G$2,Mail!$A44)+LEN(G$2))-FIND(G$2,Mail!$A44)-LEN(G$2)-1)))))</f>
        <v/>
      </c>
      <c r="H46" s="8" t="str">
        <f>TRIM(CLEAN(IF(ISERROR(FIND(H$2,Mail!$A44)),"",MID(Mail!$A44,FIND(H$2,Mail!$A44)+LEN(H$2)+1,IF(ISERROR(FIND("■",Mail!$A44,FIND(H$2,Mail!$A44)+LEN(H$2))-FIND(H$2,Mail!$A44)-LEN(H$2)),LEN(Mail!$A44)-60-FIND(H$2,Mail!$A44)-LEN(H$2),FIND("■",Mail!$A44,FIND(H$2,Mail!$A44)+LEN(H$2))-FIND(H$2,Mail!$A44)-LEN(H$2)-1)))))</f>
        <v/>
      </c>
      <c r="I46" s="8" t="str">
        <f>TRIM(CLEAN(IF(ISERROR(FIND(I$2,Mail!$A44)),"",MID(Mail!$A44,FIND(I$2,Mail!$A44)+LEN(I$2)+1,IF(ISERROR(FIND("■",Mail!$A44,FIND(I$2,Mail!$A44)+LEN(I$2))-FIND(I$2,Mail!$A44)-LEN(I$2)),LEN(Mail!$A44)-60-FIND(I$2,Mail!$A44)-LEN(I$2),FIND("■",Mail!$A44,FIND(I$2,Mail!$A44)+LEN(I$2))-FIND(I$2,Mail!$A44)-LEN(I$2)-1)))))</f>
        <v/>
      </c>
      <c r="J46" s="8" t="str">
        <f>TRIM(IF(ISERROR(FIND(J$2,Mail!$A44)),"",MID(Mail!$A44,FIND(J$2,Mail!$A44)+LEN(J$2)+1,IF(ISERROR(FIND("■",Mail!$A44,FIND(J$2,Mail!$A44)+LEN(J$2))-FIND(J$2,Mail!$A44)-LEN(J$2)),LEN(Mail!$A44)-60-FIND(J$2,Mail!$A44)-LEN(J$2),FIND("■",Mail!$A44,FIND(J$2,Mail!$A44)+LEN(J$2))-FIND(J$2,Mail!$A44)-LEN(J$2)-1))))</f>
        <v/>
      </c>
      <c r="K46" s="8" t="str">
        <f>TRIM(IF(ISERROR(FIND(K$2,Mail!$A44)),"",MID(Mail!$A44,FIND(K$2,Mail!$A44)+LEN(K$2)+1,IF(ISERROR(FIND("■",Mail!$A44,FIND(K$2,Mail!$A44)+LEN(K$2))-FIND(K$2,Mail!$A44)-LEN(K$2)),LEN(Mail!$A44)-60-FIND(K$2,Mail!$A44)-LEN(K$2),FIND("■",Mail!$A44,FIND(K$2,Mail!$A44)+LEN(K$2))-FIND(K$2,Mail!$A44)-LEN(K$2)-1))))</f>
        <v/>
      </c>
      <c r="L46" s="8" t="str">
        <f>TRIM(IF(ISERROR(FIND(L$2,Mail!$A44)),"",MID(Mail!$A44,FIND(L$2,Mail!$A44)+LEN(L$2)+1,IF(ISERROR(FIND("■",Mail!$A44,FIND(L$2,Mail!$A44)+LEN(L$2))-FIND(L$2,Mail!$A44)-LEN(L$2)),LEN(Mail!$A44)-60-FIND(L$2,Mail!$A44)-LEN(L$2),FIND("■",Mail!$A44,FIND(L$2,Mail!$A44)+LEN(L$2))-FIND(L$2,Mail!$A44)-LEN(L$2)-1))))</f>
        <v/>
      </c>
      <c r="M46" s="8" t="str">
        <f>TRIM(CLEAN(IF(ISERROR(FIND(M$2,Mail!$A44)),"",MID(Mail!$A44,FIND(M$2,Mail!$A44)+LEN(M$2)+1,IF(ISERROR(FIND("■",Mail!$A44,FIND(M$2,Mail!$A44)+LEN(M$2))-FIND(M$2,Mail!$A44)-LEN(M$2)),LEN(Mail!$A44)-60-FIND(M$2,Mail!$A44)-LEN(M$2),FIND("■",Mail!$A44,FIND(M$2,Mail!$A44)+LEN(M$2))-FIND(M$2,Mail!$A44)-LEN(M$2)-1)))))</f>
        <v/>
      </c>
      <c r="N46" s="8" t="str">
        <f>TRIM(CLEAN(IF(ISERROR(FIND(N$2,Mail!$A44)),"",MID(Mail!$A44,FIND(N$2,Mail!$A44)+LEN(N$2)+1,IF(ISERROR(FIND("■",Mail!$A44,FIND(N$2,Mail!$A44)+LEN(N$2))-FIND(N$2,Mail!$A44)-LEN(N$2)),LEN(Mail!$A44)-60-FIND(N$2,Mail!$A44)-LEN(N$2),FIND("■",Mail!$A44,FIND(N$2,Mail!$A44)+LEN(N$2))-FIND(N$2,Mail!$A44)-LEN(N$2)-1)))))</f>
        <v/>
      </c>
      <c r="O46" s="8" t="str">
        <f>TRIM(CLEAN(IF(ISERROR(FIND(O$2,Mail!$A44)),"",MID(Mail!$A44,FIND(O$2,Mail!$A44)+LEN(O$2)+1,IF(ISERROR(FIND("■",Mail!$A44,FIND(O$2,Mail!$A44)+LEN(O$2))-FIND(O$2,Mail!$A44)-LEN(O$2)),LEN(Mail!$A44)-60-FIND(O$2,Mail!$A44)-LEN(O$2),FIND("■",Mail!$A44,FIND(O$2,Mail!$A44)+LEN(O$2))-FIND(O$2,Mail!$A44)-LEN(O$2)-1)))))</f>
        <v/>
      </c>
      <c r="P46" s="8" t="str">
        <f>TRIM(CLEAN(IF(ISERROR(FIND(P$2,Mail!$A44)),"",MID(Mail!$A44,FIND(P$2,Mail!$A44)+LEN(P$2)+1,IF(ISERROR(FIND("■",Mail!$A44,FIND(P$2,Mail!$A44)+LEN(P$2))-FIND(P$2,Mail!$A44)-LEN(P$2)),LEN(Mail!$A44)-60-FIND(P$2,Mail!$A44)-LEN(P$2),FIND("■",Mail!$A44,FIND(P$2,Mail!$A44)+LEN(P$2))-FIND(P$2,Mail!$A44)-LEN(P$2)-1)))))</f>
        <v/>
      </c>
      <c r="Q46" s="8" t="str">
        <f>TRIM(CLEAN(IF(ISERROR(FIND(Q$2,Mail!$A44)),"",MID(Mail!$A44,FIND(Q$2,Mail!$A44)+LEN(Q$2)+1,IF(ISERROR(FIND("■",Mail!$A44,FIND(Q$2,Mail!$A44)+LEN(Q$2))-FIND(Q$2,Mail!$A44)-LEN(Q$2)),LEN(Mail!$A44)-60-FIND(Q$2,Mail!$A44)-LEN(Q$2),FIND("■",Mail!$A44,FIND(Q$2,Mail!$A44)+LEN(Q$2))-FIND(Q$2,Mail!$A44)-LEN(Q$2)-1)))))</f>
        <v/>
      </c>
      <c r="R46" s="8" t="str">
        <f>TRIM(CLEAN(IF(ISERROR(FIND(R$2,Mail!$A44)),"",MID(Mail!$A44,FIND(R$2,Mail!$A44)+LEN(R$2)+1,IF(ISERROR(FIND("■",Mail!$A44,FIND(R$2,Mail!$A44)+LEN(R$2))-FIND(R$2,Mail!$A44)-LEN(R$2)),LEN(Mail!$A44)-60-FIND(R$2,Mail!$A44)-LEN(R$2),FIND("■",Mail!$A44,FIND(R$2,Mail!$A44)+LEN(R$2))-FIND(R$2,Mail!$A44)-LEN(R$2)-1)))))</f>
        <v/>
      </c>
      <c r="S46" s="8" t="str">
        <f>TRIM(CLEAN(IF(ISERROR(FIND(S$2,Mail!$A44)),"",MID(Mail!$A44,FIND(S$2,Mail!$A44)+LEN(S$2)+1,IF(ISERROR(FIND("■",Mail!$A44,FIND(S$2,Mail!$A44)+LEN(S$2))-FIND(S$2,Mail!$A44)-LEN(S$2)),LEN(Mail!$A44)-60-FIND(S$2,Mail!$A44)-LEN(S$2),FIND("■",Mail!$A44,FIND(S$2,Mail!$A44)+LEN(S$2))-FIND(S$2,Mail!$A44)-LEN(S$2)-1)))))</f>
        <v/>
      </c>
      <c r="T46" s="8" t="str">
        <f>TRIM(CLEAN(IF(ISERROR(FIND(T$2,Mail!$A44)),"",MID(Mail!$A44,FIND(T$2,Mail!$A44)+LEN(T$2)+1,IF(ISERROR(FIND("■",Mail!$A44,FIND(T$2,Mail!$A44)+LEN(T$2))-FIND(T$2,Mail!$A44)-LEN(T$2)),LEN(Mail!$A44)-60-FIND(T$2,Mail!$A44)-LEN(T$2),FIND("■",Mail!$A44,FIND(T$2,Mail!$A44)+LEN(T$2))-FIND(T$2,Mail!$A44)-LEN(T$2)-1)))))</f>
        <v/>
      </c>
      <c r="U46" s="8" t="str">
        <f>TRIM(CLEAN(IF(ISERROR(FIND(U$2,Mail!$A44)),"",MID(Mail!$A44,FIND(U$2,Mail!$A44)+LEN(U$2)+1,IF(ISERROR(FIND("■",Mail!$A44,FIND(U$2,Mail!$A44)+LEN(U$2))-FIND(U$2,Mail!$A44)-LEN(U$2)),LEN(Mail!$A44)-60-FIND(U$2,Mail!$A44)-LEN(U$2),FIND("■",Mail!$A44,FIND(U$2,Mail!$A44)+LEN(U$2))-FIND(U$2,Mail!$A44)-LEN(U$2)-1)))))</f>
        <v/>
      </c>
      <c r="V46" s="8" t="str">
        <f>TRIM(CLEAN(IF(ISERROR(FIND(V$2,Mail!$A44)),"",MID(Mail!$A44,FIND(V$2,Mail!$A44)+LEN(V$2)+1,IF(ISERROR(FIND("■",Mail!$A44,FIND(V$2,Mail!$A44)+LEN(V$2))-FIND(V$2,Mail!$A44)-LEN(V$2)),LEN(Mail!$A44)-60-FIND(V$2,Mail!$A44)-LEN(V$2),FIND("■",Mail!$A44,FIND(V$2,Mail!$A44)+LEN(V$2))-FIND(V$2,Mail!$A44)-LEN(V$2)-1)))))</f>
        <v/>
      </c>
      <c r="W46" s="8" t="str">
        <f>TRIM(CLEAN(IF(ISERROR(FIND(W$2,Mail!$A44)),"",MID(Mail!$A44,FIND(W$2,Mail!$A44)+LEN(W$2)+1,IF(ISERROR(FIND("■",Mail!$A44,FIND(W$2,Mail!$A44)+LEN(W$2))-FIND(W$2,Mail!$A44)-LEN(W$2)),LEN(Mail!$A44)-60-FIND(W$2,Mail!$A44)-LEN(W$2),FIND("■",Mail!$A44,FIND(W$2,Mail!$A44)+LEN(W$2))-FIND(W$2,Mail!$A44)-LEN(W$2)-1)))))</f>
        <v/>
      </c>
      <c r="X46" s="8" t="str">
        <f>TRIM(IF(ISERROR(FIND(X$2,Mail!$A44)),"",MID(Mail!$A44,FIND(X$2,Mail!$A44)+LEN(X$2)+1,IF(ISERROR(FIND("■",Mail!$A44,FIND(X$2,Mail!$A44)+LEN(X$2))-FIND(X$2,Mail!$A44)-LEN(X$2)),LEN(Mail!$A44)-60-FIND(X$2,Mail!$A44)-LEN(X$2),FIND("■",Mail!$A44,FIND(X$2,Mail!$A44)+LEN(X$2))-FIND(X$2,Mail!$A44)-LEN(X$2)-1))))</f>
        <v/>
      </c>
      <c r="Y46" s="8" t="str">
        <f>TRIM(CLEAN(IF(ISERROR(FIND(Y$2,Mail!$A44)),"",MID(Mail!$A44,FIND(Y$2,Mail!$A44)+LEN(Y$2)+1,IF(ISERROR(FIND("■",Mail!$A44,FIND(Y$2,Mail!$A44)+LEN(Y$2))-FIND(Y$2,Mail!$A44)-LEN(Y$2)),LEN(Mail!$A44)-60-FIND(Y$2,Mail!$A44)-LEN(Y$2),FIND("■",Mail!$A44,FIND(Y$2,Mail!$A44)+LEN(Y$2))-FIND(Y$2,Mail!$A44)-LEN(Y$2)-1)))))</f>
        <v/>
      </c>
      <c r="Z46" s="8" t="str">
        <f>TRIM(CLEAN(IF(ISERROR(FIND(Z$2,Mail!$A44)),"",MID(Mail!$A44,FIND(Z$2,Mail!$A44)+LEN(Z$2)+1,IF(ISERROR(FIND("■",Mail!$A44,FIND(Z$2,Mail!$A44)+LEN(Z$2))-FIND(Z$2,Mail!$A44)-LEN(Z$2)),LEN(Mail!$A44)-60-FIND(Z$2,Mail!$A44)-LEN(Z$2),FIND("■",Mail!$A44,FIND(Z$2,Mail!$A44)+LEN(Z$2))-FIND(Z$2,Mail!$A44)-LEN(Z$2)-1)))))</f>
        <v/>
      </c>
      <c r="AA46" s="8" t="str">
        <f>TRIM(CLEAN(IF(ISERROR(FIND(AA$2,Mail!$A44)),"",MID(Mail!$A44,FIND(AA$2,Mail!$A44)+LEN(AA$2)+1,IF(ISERROR(FIND("■",Mail!$A44,FIND(AA$2,Mail!$A44)+LEN(AA$2))-FIND(AA$2,Mail!$A44)-LEN(AA$2)),LEN(Mail!$A44)-60-FIND(AA$2,Mail!$A44)-LEN(AA$2),FIND("■",Mail!$A44,FIND(AA$2,Mail!$A44)+LEN(AA$2))-FIND(AA$2,Mail!$A44)-LEN(AA$2)-1)))))</f>
        <v/>
      </c>
      <c r="AB46" s="8" t="str">
        <f>TRIM(CLEAN(IF(ISERROR(FIND(AB$2,Mail!$A44)),"",MID(Mail!$A44,FIND(AB$2,Mail!$A44)+LEN(AB$2)+1,IF(ISERROR(FIND("■",Mail!$A44,FIND(AB$2,Mail!$A44)+LEN(AB$2))-FIND(AB$2,Mail!$A44)-LEN(AB$2)),LEN(Mail!$A44)-60-FIND(AB$2,Mail!$A44)-LEN(AB$2),FIND("■",Mail!$A44,FIND(AB$2,Mail!$A44)+LEN(AB$2))-FIND(AB$2,Mail!$A44)-LEN(AB$2)-1)))))</f>
        <v/>
      </c>
      <c r="AC46" s="8" t="str">
        <f>TRIM(CLEAN(IF(ISERROR(FIND(AC$2,Mail!$A44)),"",MID(Mail!$A44,FIND(AC$2,Mail!$A44)+LEN(AC$2)+1,IF(ISERROR(FIND("■",Mail!$A44,FIND(AC$2,Mail!$A44)+LEN(AC$2))-FIND(AC$2,Mail!$A44)-LEN(AC$2)),LEN(Mail!$A44)-60-FIND(AC$2,Mail!$A44)-LEN(AC$2),FIND("■",Mail!$A44,FIND(AC$2,Mail!$A44)+LEN(AC$2))-FIND(AC$2,Mail!$A44)-LEN(AC$2)-1)))))</f>
        <v/>
      </c>
      <c r="AD46" s="8" t="str">
        <f>TRIM(CLEAN(IF(ISERROR(FIND(AD$2,Mail!$A44)),"",MID(Mail!$A44,FIND(AD$2,Mail!$A44)+LEN(AD$2)+1,IF(ISERROR(FIND("■",Mail!$A44,FIND(AD$2,Mail!$A44)+LEN(AD$2))-FIND(AD$2,Mail!$A44)-LEN(AD$2)),LEN(Mail!$A44)-60-FIND(AD$2,Mail!$A44)-LEN(AD$2),FIND("■",Mail!$A44,FIND(AD$2,Mail!$A44)+LEN(AD$2))-FIND(AD$2,Mail!$A44)-LEN(AD$2)-1)))))</f>
        <v/>
      </c>
      <c r="AE46" s="8" t="str">
        <f>TRIM(CLEAN(IF(ISERROR(FIND(AE$2,Mail!$A44)),"",MID(Mail!$A44,FIND(AE$2,Mail!$A44)+LEN(AE$2)+1,IF(ISERROR(FIND("■",Mail!$A44,FIND(AE$2,Mail!$A44)+LEN(AE$2))-FIND(AE$2,Mail!$A44)-LEN(AE$2)),LEN(Mail!$A44)-60-FIND(AE$2,Mail!$A44)-LEN(AE$2),FIND("■",Mail!$A44,FIND(AE$2,Mail!$A44)+LEN(AE$2))-FIND(AE$2,Mail!$A44)-LEN(AE$2)-1)))))</f>
        <v/>
      </c>
      <c r="AF46" s="8" t="str">
        <f>TRIM(CLEAN(IF(ISERROR(FIND(AF$2,Mail!$A44)),"",MID(Mail!$A44,FIND(AF$2,Mail!$A44)+LEN(AF$2)+1,IF(ISERROR(FIND("■",Mail!$A44,FIND(AF$2,Mail!$A44)+LEN(AF$2))-FIND(AF$2,Mail!$A44)-LEN(AF$2)),LEN(Mail!$A44)-60-FIND(AF$2,Mail!$A44)-LEN(AF$2),FIND("■",Mail!$A44,FIND(AF$2,Mail!$A44)+LEN(AF$2))-FIND(AF$2,Mail!$A44)-LEN(AF$2)-1)))))</f>
        <v/>
      </c>
      <c r="AG46" s="8" t="str">
        <f>TRIM(IF(ISERROR(FIND(AG$2,Mail!$A44)),"",MID(Mail!$A44,FIND(AG$2,Mail!$A44)+LEN(AG$2)+1,IF(ISERROR(FIND("■",Mail!$A44,FIND(AG$2,Mail!$A44)+LEN(AG$2))-FIND(AG$2,Mail!$A44)-LEN(AG$2)),LEN(Mail!$A44)-60-FIND(AG$2,Mail!$A44)-LEN(AG$2),FIND("■",Mail!$A44,FIND(AG$2,Mail!$A44)+LEN(AG$2))-FIND(AG$2,Mail!$A44)-LEN(AG$2)-1))))</f>
        <v/>
      </c>
      <c r="AH46" s="8" t="str">
        <f>TRIM(IF(ISERROR(FIND(AH$2,Mail!$A44)),"",MID(Mail!$A44,FIND(AH$2,Mail!$A44)+LEN(AH$2)+1,IF(ISERROR(FIND("■",Mail!$A44,FIND(AH$2,Mail!$A44)+LEN(AH$2))-FIND(AH$2,Mail!$A44)-LEN(AH$2)),LEN(Mail!$A44)-60-FIND(AH$2,Mail!$A44)-LEN(AH$2),FIND("■",Mail!$A44,FIND(AH$2,Mail!$A44)+LEN(AH$2))-FIND(AH$2,Mail!$A44)-LEN(AH$2)-1))))</f>
        <v/>
      </c>
      <c r="AI46" s="8" t="str">
        <f>TRIM(IF(ISERROR(FIND(AI$2,Mail!$A44)),"",MID(Mail!$A44,FIND(AI$2,Mail!$A44)+LEN(AI$2)+1,IF(ISERROR(FIND("■",Mail!$A44,FIND(AI$2,Mail!$A44)+LEN(AI$2))-FIND(AI$2,Mail!$A44)-LEN(AI$2)),LEN(Mail!$A44)-60-FIND(AI$2,Mail!$A44)-LEN(AI$2),FIND("■",Mail!$A44,FIND(AI$2,Mail!$A44)+LEN(AI$2))-FIND(AI$2,Mail!$A44)-LEN(AI$2)-1))))</f>
        <v/>
      </c>
    </row>
    <row r="47" spans="1:35" s="8" customFormat="1" x14ac:dyDescent="0.15">
      <c r="A47" s="9" t="str">
        <f t="shared" si="1"/>
        <v/>
      </c>
      <c r="B47" s="8" t="str">
        <f>CLEAN(SUBSTITUTE(IF(ISERROR(FIND("yokohama",Mail!$A45)),"",MID(Mail!$A45,FIND("yokohama",Mail!$A45)+LEN("yokohama")+1,FIND("件目",Mail!$A45,FIND("yokohama",Mail!$A45))-(FIND("yokohama",Mail!$A45)+LEN("yokohama")+1)))," ",""))</f>
        <v/>
      </c>
      <c r="C47" s="9" t="str">
        <f t="shared" si="4"/>
        <v/>
      </c>
      <c r="D47" s="9" t="str">
        <f t="shared" si="2"/>
        <v/>
      </c>
      <c r="E47" s="8" t="str">
        <f t="shared" si="3"/>
        <v/>
      </c>
      <c r="F47" s="8" t="str">
        <f>TRIM(CLEAN(IF(ISERROR(FIND(F$2,Mail!$A45)),"",MID(Mail!$A45,FIND(F$2,Mail!$A45)+LEN(F$2)+1,IF(ISERROR(FIND("■",Mail!$A45,FIND(F$2,Mail!$A45)+LEN(F$2))-FIND(F$2,Mail!$A45)-LEN(F$2)),LEN(Mail!$A45)-60-FIND(F$2,Mail!$A45)-LEN(F$2),FIND("■",Mail!$A45,FIND(F$2,Mail!$A45)+LEN(F$2))-FIND(F$2,Mail!$A45)-LEN(F$2)-1)))))</f>
        <v/>
      </c>
      <c r="G47" s="8" t="str">
        <f>TRIM(CLEAN(IF(ISERROR(FIND(G$2,Mail!$A45)),"",MID(Mail!$A45,FIND(G$2,Mail!$A45)+LEN(G$2)+1,IF(ISERROR(FIND("■",Mail!$A45,FIND(G$2,Mail!$A45)+LEN(G$2))-FIND(G$2,Mail!$A45)-LEN(G$2)),LEN(Mail!$A45)-60-FIND(G$2,Mail!$A45)-LEN(G$2),FIND("■",Mail!$A45,FIND(G$2,Mail!$A45)+LEN(G$2))-FIND(G$2,Mail!$A45)-LEN(G$2)-1)))))</f>
        <v/>
      </c>
      <c r="H47" s="8" t="str">
        <f>TRIM(CLEAN(IF(ISERROR(FIND(H$2,Mail!$A45)),"",MID(Mail!$A45,FIND(H$2,Mail!$A45)+LEN(H$2)+1,IF(ISERROR(FIND("■",Mail!$A45,FIND(H$2,Mail!$A45)+LEN(H$2))-FIND(H$2,Mail!$A45)-LEN(H$2)),LEN(Mail!$A45)-60-FIND(H$2,Mail!$A45)-LEN(H$2),FIND("■",Mail!$A45,FIND(H$2,Mail!$A45)+LEN(H$2))-FIND(H$2,Mail!$A45)-LEN(H$2)-1)))))</f>
        <v/>
      </c>
      <c r="I47" s="8" t="str">
        <f>TRIM(CLEAN(IF(ISERROR(FIND(I$2,Mail!$A45)),"",MID(Mail!$A45,FIND(I$2,Mail!$A45)+LEN(I$2)+1,IF(ISERROR(FIND("■",Mail!$A45,FIND(I$2,Mail!$A45)+LEN(I$2))-FIND(I$2,Mail!$A45)-LEN(I$2)),LEN(Mail!$A45)-60-FIND(I$2,Mail!$A45)-LEN(I$2),FIND("■",Mail!$A45,FIND(I$2,Mail!$A45)+LEN(I$2))-FIND(I$2,Mail!$A45)-LEN(I$2)-1)))))</f>
        <v/>
      </c>
      <c r="J47" s="8" t="str">
        <f>TRIM(IF(ISERROR(FIND(J$2,Mail!$A45)),"",MID(Mail!$A45,FIND(J$2,Mail!$A45)+LEN(J$2)+1,IF(ISERROR(FIND("■",Mail!$A45,FIND(J$2,Mail!$A45)+LEN(J$2))-FIND(J$2,Mail!$A45)-LEN(J$2)),LEN(Mail!$A45)-60-FIND(J$2,Mail!$A45)-LEN(J$2),FIND("■",Mail!$A45,FIND(J$2,Mail!$A45)+LEN(J$2))-FIND(J$2,Mail!$A45)-LEN(J$2)-1))))</f>
        <v/>
      </c>
      <c r="K47" s="8" t="str">
        <f>TRIM(IF(ISERROR(FIND(K$2,Mail!$A45)),"",MID(Mail!$A45,FIND(K$2,Mail!$A45)+LEN(K$2)+1,IF(ISERROR(FIND("■",Mail!$A45,FIND(K$2,Mail!$A45)+LEN(K$2))-FIND(K$2,Mail!$A45)-LEN(K$2)),LEN(Mail!$A45)-60-FIND(K$2,Mail!$A45)-LEN(K$2),FIND("■",Mail!$A45,FIND(K$2,Mail!$A45)+LEN(K$2))-FIND(K$2,Mail!$A45)-LEN(K$2)-1))))</f>
        <v/>
      </c>
      <c r="L47" s="8" t="str">
        <f>TRIM(IF(ISERROR(FIND(L$2,Mail!$A45)),"",MID(Mail!$A45,FIND(L$2,Mail!$A45)+LEN(L$2)+1,IF(ISERROR(FIND("■",Mail!$A45,FIND(L$2,Mail!$A45)+LEN(L$2))-FIND(L$2,Mail!$A45)-LEN(L$2)),LEN(Mail!$A45)-60-FIND(L$2,Mail!$A45)-LEN(L$2),FIND("■",Mail!$A45,FIND(L$2,Mail!$A45)+LEN(L$2))-FIND(L$2,Mail!$A45)-LEN(L$2)-1))))</f>
        <v/>
      </c>
      <c r="M47" s="8" t="str">
        <f>TRIM(CLEAN(IF(ISERROR(FIND(M$2,Mail!$A45)),"",MID(Mail!$A45,FIND(M$2,Mail!$A45)+LEN(M$2)+1,IF(ISERROR(FIND("■",Mail!$A45,FIND(M$2,Mail!$A45)+LEN(M$2))-FIND(M$2,Mail!$A45)-LEN(M$2)),LEN(Mail!$A45)-60-FIND(M$2,Mail!$A45)-LEN(M$2),FIND("■",Mail!$A45,FIND(M$2,Mail!$A45)+LEN(M$2))-FIND(M$2,Mail!$A45)-LEN(M$2)-1)))))</f>
        <v/>
      </c>
      <c r="N47" s="8" t="str">
        <f>TRIM(CLEAN(IF(ISERROR(FIND(N$2,Mail!$A45)),"",MID(Mail!$A45,FIND(N$2,Mail!$A45)+LEN(N$2)+1,IF(ISERROR(FIND("■",Mail!$A45,FIND(N$2,Mail!$A45)+LEN(N$2))-FIND(N$2,Mail!$A45)-LEN(N$2)),LEN(Mail!$A45)-60-FIND(N$2,Mail!$A45)-LEN(N$2),FIND("■",Mail!$A45,FIND(N$2,Mail!$A45)+LEN(N$2))-FIND(N$2,Mail!$A45)-LEN(N$2)-1)))))</f>
        <v/>
      </c>
      <c r="O47" s="8" t="str">
        <f>TRIM(CLEAN(IF(ISERROR(FIND(O$2,Mail!$A45)),"",MID(Mail!$A45,FIND(O$2,Mail!$A45)+LEN(O$2)+1,IF(ISERROR(FIND("■",Mail!$A45,FIND(O$2,Mail!$A45)+LEN(O$2))-FIND(O$2,Mail!$A45)-LEN(O$2)),LEN(Mail!$A45)-60-FIND(O$2,Mail!$A45)-LEN(O$2),FIND("■",Mail!$A45,FIND(O$2,Mail!$A45)+LEN(O$2))-FIND(O$2,Mail!$A45)-LEN(O$2)-1)))))</f>
        <v/>
      </c>
      <c r="P47" s="8" t="str">
        <f>TRIM(CLEAN(IF(ISERROR(FIND(P$2,Mail!$A45)),"",MID(Mail!$A45,FIND(P$2,Mail!$A45)+LEN(P$2)+1,IF(ISERROR(FIND("■",Mail!$A45,FIND(P$2,Mail!$A45)+LEN(P$2))-FIND(P$2,Mail!$A45)-LEN(P$2)),LEN(Mail!$A45)-60-FIND(P$2,Mail!$A45)-LEN(P$2),FIND("■",Mail!$A45,FIND(P$2,Mail!$A45)+LEN(P$2))-FIND(P$2,Mail!$A45)-LEN(P$2)-1)))))</f>
        <v/>
      </c>
      <c r="Q47" s="8" t="str">
        <f>TRIM(CLEAN(IF(ISERROR(FIND(Q$2,Mail!$A45)),"",MID(Mail!$A45,FIND(Q$2,Mail!$A45)+LEN(Q$2)+1,IF(ISERROR(FIND("■",Mail!$A45,FIND(Q$2,Mail!$A45)+LEN(Q$2))-FIND(Q$2,Mail!$A45)-LEN(Q$2)),LEN(Mail!$A45)-60-FIND(Q$2,Mail!$A45)-LEN(Q$2),FIND("■",Mail!$A45,FIND(Q$2,Mail!$A45)+LEN(Q$2))-FIND(Q$2,Mail!$A45)-LEN(Q$2)-1)))))</f>
        <v/>
      </c>
      <c r="R47" s="8" t="str">
        <f>TRIM(CLEAN(IF(ISERROR(FIND(R$2,Mail!$A45)),"",MID(Mail!$A45,FIND(R$2,Mail!$A45)+LEN(R$2)+1,IF(ISERROR(FIND("■",Mail!$A45,FIND(R$2,Mail!$A45)+LEN(R$2))-FIND(R$2,Mail!$A45)-LEN(R$2)),LEN(Mail!$A45)-60-FIND(R$2,Mail!$A45)-LEN(R$2),FIND("■",Mail!$A45,FIND(R$2,Mail!$A45)+LEN(R$2))-FIND(R$2,Mail!$A45)-LEN(R$2)-1)))))</f>
        <v/>
      </c>
      <c r="S47" s="8" t="str">
        <f>TRIM(CLEAN(IF(ISERROR(FIND(S$2,Mail!$A45)),"",MID(Mail!$A45,FIND(S$2,Mail!$A45)+LEN(S$2)+1,IF(ISERROR(FIND("■",Mail!$A45,FIND(S$2,Mail!$A45)+LEN(S$2))-FIND(S$2,Mail!$A45)-LEN(S$2)),LEN(Mail!$A45)-60-FIND(S$2,Mail!$A45)-LEN(S$2),FIND("■",Mail!$A45,FIND(S$2,Mail!$A45)+LEN(S$2))-FIND(S$2,Mail!$A45)-LEN(S$2)-1)))))</f>
        <v/>
      </c>
      <c r="T47" s="8" t="str">
        <f>TRIM(CLEAN(IF(ISERROR(FIND(T$2,Mail!$A45)),"",MID(Mail!$A45,FIND(T$2,Mail!$A45)+LEN(T$2)+1,IF(ISERROR(FIND("■",Mail!$A45,FIND(T$2,Mail!$A45)+LEN(T$2))-FIND(T$2,Mail!$A45)-LEN(T$2)),LEN(Mail!$A45)-60-FIND(T$2,Mail!$A45)-LEN(T$2),FIND("■",Mail!$A45,FIND(T$2,Mail!$A45)+LEN(T$2))-FIND(T$2,Mail!$A45)-LEN(T$2)-1)))))</f>
        <v/>
      </c>
      <c r="U47" s="8" t="str">
        <f>TRIM(CLEAN(IF(ISERROR(FIND(U$2,Mail!$A45)),"",MID(Mail!$A45,FIND(U$2,Mail!$A45)+LEN(U$2)+1,IF(ISERROR(FIND("■",Mail!$A45,FIND(U$2,Mail!$A45)+LEN(U$2))-FIND(U$2,Mail!$A45)-LEN(U$2)),LEN(Mail!$A45)-60-FIND(U$2,Mail!$A45)-LEN(U$2),FIND("■",Mail!$A45,FIND(U$2,Mail!$A45)+LEN(U$2))-FIND(U$2,Mail!$A45)-LEN(U$2)-1)))))</f>
        <v/>
      </c>
      <c r="V47" s="8" t="str">
        <f>TRIM(CLEAN(IF(ISERROR(FIND(V$2,Mail!$A45)),"",MID(Mail!$A45,FIND(V$2,Mail!$A45)+LEN(V$2)+1,IF(ISERROR(FIND("■",Mail!$A45,FIND(V$2,Mail!$A45)+LEN(V$2))-FIND(V$2,Mail!$A45)-LEN(V$2)),LEN(Mail!$A45)-60-FIND(V$2,Mail!$A45)-LEN(V$2),FIND("■",Mail!$A45,FIND(V$2,Mail!$A45)+LEN(V$2))-FIND(V$2,Mail!$A45)-LEN(V$2)-1)))))</f>
        <v/>
      </c>
      <c r="W47" s="8" t="str">
        <f>TRIM(CLEAN(IF(ISERROR(FIND(W$2,Mail!$A45)),"",MID(Mail!$A45,FIND(W$2,Mail!$A45)+LEN(W$2)+1,IF(ISERROR(FIND("■",Mail!$A45,FIND(W$2,Mail!$A45)+LEN(W$2))-FIND(W$2,Mail!$A45)-LEN(W$2)),LEN(Mail!$A45)-60-FIND(W$2,Mail!$A45)-LEN(W$2),FIND("■",Mail!$A45,FIND(W$2,Mail!$A45)+LEN(W$2))-FIND(W$2,Mail!$A45)-LEN(W$2)-1)))))</f>
        <v/>
      </c>
      <c r="X47" s="8" t="str">
        <f>TRIM(IF(ISERROR(FIND(X$2,Mail!$A45)),"",MID(Mail!$A45,FIND(X$2,Mail!$A45)+LEN(X$2)+1,IF(ISERROR(FIND("■",Mail!$A45,FIND(X$2,Mail!$A45)+LEN(X$2))-FIND(X$2,Mail!$A45)-LEN(X$2)),LEN(Mail!$A45)-60-FIND(X$2,Mail!$A45)-LEN(X$2),FIND("■",Mail!$A45,FIND(X$2,Mail!$A45)+LEN(X$2))-FIND(X$2,Mail!$A45)-LEN(X$2)-1))))</f>
        <v/>
      </c>
      <c r="Y47" s="8" t="str">
        <f>TRIM(CLEAN(IF(ISERROR(FIND(Y$2,Mail!$A45)),"",MID(Mail!$A45,FIND(Y$2,Mail!$A45)+LEN(Y$2)+1,IF(ISERROR(FIND("■",Mail!$A45,FIND(Y$2,Mail!$A45)+LEN(Y$2))-FIND(Y$2,Mail!$A45)-LEN(Y$2)),LEN(Mail!$A45)-60-FIND(Y$2,Mail!$A45)-LEN(Y$2),FIND("■",Mail!$A45,FIND(Y$2,Mail!$A45)+LEN(Y$2))-FIND(Y$2,Mail!$A45)-LEN(Y$2)-1)))))</f>
        <v/>
      </c>
      <c r="Z47" s="8" t="str">
        <f>TRIM(CLEAN(IF(ISERROR(FIND(Z$2,Mail!$A45)),"",MID(Mail!$A45,FIND(Z$2,Mail!$A45)+LEN(Z$2)+1,IF(ISERROR(FIND("■",Mail!$A45,FIND(Z$2,Mail!$A45)+LEN(Z$2))-FIND(Z$2,Mail!$A45)-LEN(Z$2)),LEN(Mail!$A45)-60-FIND(Z$2,Mail!$A45)-LEN(Z$2),FIND("■",Mail!$A45,FIND(Z$2,Mail!$A45)+LEN(Z$2))-FIND(Z$2,Mail!$A45)-LEN(Z$2)-1)))))</f>
        <v/>
      </c>
      <c r="AA47" s="8" t="str">
        <f>TRIM(CLEAN(IF(ISERROR(FIND(AA$2,Mail!$A45)),"",MID(Mail!$A45,FIND(AA$2,Mail!$A45)+LEN(AA$2)+1,IF(ISERROR(FIND("■",Mail!$A45,FIND(AA$2,Mail!$A45)+LEN(AA$2))-FIND(AA$2,Mail!$A45)-LEN(AA$2)),LEN(Mail!$A45)-60-FIND(AA$2,Mail!$A45)-LEN(AA$2),FIND("■",Mail!$A45,FIND(AA$2,Mail!$A45)+LEN(AA$2))-FIND(AA$2,Mail!$A45)-LEN(AA$2)-1)))))</f>
        <v/>
      </c>
      <c r="AB47" s="8" t="str">
        <f>TRIM(CLEAN(IF(ISERROR(FIND(AB$2,Mail!$A45)),"",MID(Mail!$A45,FIND(AB$2,Mail!$A45)+LEN(AB$2)+1,IF(ISERROR(FIND("■",Mail!$A45,FIND(AB$2,Mail!$A45)+LEN(AB$2))-FIND(AB$2,Mail!$A45)-LEN(AB$2)),LEN(Mail!$A45)-60-FIND(AB$2,Mail!$A45)-LEN(AB$2),FIND("■",Mail!$A45,FIND(AB$2,Mail!$A45)+LEN(AB$2))-FIND(AB$2,Mail!$A45)-LEN(AB$2)-1)))))</f>
        <v/>
      </c>
      <c r="AC47" s="8" t="str">
        <f>TRIM(CLEAN(IF(ISERROR(FIND(AC$2,Mail!$A45)),"",MID(Mail!$A45,FIND(AC$2,Mail!$A45)+LEN(AC$2)+1,IF(ISERROR(FIND("■",Mail!$A45,FIND(AC$2,Mail!$A45)+LEN(AC$2))-FIND(AC$2,Mail!$A45)-LEN(AC$2)),LEN(Mail!$A45)-60-FIND(AC$2,Mail!$A45)-LEN(AC$2),FIND("■",Mail!$A45,FIND(AC$2,Mail!$A45)+LEN(AC$2))-FIND(AC$2,Mail!$A45)-LEN(AC$2)-1)))))</f>
        <v/>
      </c>
      <c r="AD47" s="8" t="str">
        <f>TRIM(CLEAN(IF(ISERROR(FIND(AD$2,Mail!$A45)),"",MID(Mail!$A45,FIND(AD$2,Mail!$A45)+LEN(AD$2)+1,IF(ISERROR(FIND("■",Mail!$A45,FIND(AD$2,Mail!$A45)+LEN(AD$2))-FIND(AD$2,Mail!$A45)-LEN(AD$2)),LEN(Mail!$A45)-60-FIND(AD$2,Mail!$A45)-LEN(AD$2),FIND("■",Mail!$A45,FIND(AD$2,Mail!$A45)+LEN(AD$2))-FIND(AD$2,Mail!$A45)-LEN(AD$2)-1)))))</f>
        <v/>
      </c>
      <c r="AE47" s="8" t="str">
        <f>TRIM(CLEAN(IF(ISERROR(FIND(AE$2,Mail!$A45)),"",MID(Mail!$A45,FIND(AE$2,Mail!$A45)+LEN(AE$2)+1,IF(ISERROR(FIND("■",Mail!$A45,FIND(AE$2,Mail!$A45)+LEN(AE$2))-FIND(AE$2,Mail!$A45)-LEN(AE$2)),LEN(Mail!$A45)-60-FIND(AE$2,Mail!$A45)-LEN(AE$2),FIND("■",Mail!$A45,FIND(AE$2,Mail!$A45)+LEN(AE$2))-FIND(AE$2,Mail!$A45)-LEN(AE$2)-1)))))</f>
        <v/>
      </c>
      <c r="AF47" s="8" t="str">
        <f>TRIM(CLEAN(IF(ISERROR(FIND(AF$2,Mail!$A45)),"",MID(Mail!$A45,FIND(AF$2,Mail!$A45)+LEN(AF$2)+1,IF(ISERROR(FIND("■",Mail!$A45,FIND(AF$2,Mail!$A45)+LEN(AF$2))-FIND(AF$2,Mail!$A45)-LEN(AF$2)),LEN(Mail!$A45)-60-FIND(AF$2,Mail!$A45)-LEN(AF$2),FIND("■",Mail!$A45,FIND(AF$2,Mail!$A45)+LEN(AF$2))-FIND(AF$2,Mail!$A45)-LEN(AF$2)-1)))))</f>
        <v/>
      </c>
      <c r="AG47" s="8" t="str">
        <f>TRIM(IF(ISERROR(FIND(AG$2,Mail!$A45)),"",MID(Mail!$A45,FIND(AG$2,Mail!$A45)+LEN(AG$2)+1,IF(ISERROR(FIND("■",Mail!$A45,FIND(AG$2,Mail!$A45)+LEN(AG$2))-FIND(AG$2,Mail!$A45)-LEN(AG$2)),LEN(Mail!$A45)-60-FIND(AG$2,Mail!$A45)-LEN(AG$2),FIND("■",Mail!$A45,FIND(AG$2,Mail!$A45)+LEN(AG$2))-FIND(AG$2,Mail!$A45)-LEN(AG$2)-1))))</f>
        <v/>
      </c>
      <c r="AH47" s="8" t="str">
        <f>TRIM(IF(ISERROR(FIND(AH$2,Mail!$A45)),"",MID(Mail!$A45,FIND(AH$2,Mail!$A45)+LEN(AH$2)+1,IF(ISERROR(FIND("■",Mail!$A45,FIND(AH$2,Mail!$A45)+LEN(AH$2))-FIND(AH$2,Mail!$A45)-LEN(AH$2)),LEN(Mail!$A45)-60-FIND(AH$2,Mail!$A45)-LEN(AH$2),FIND("■",Mail!$A45,FIND(AH$2,Mail!$A45)+LEN(AH$2))-FIND(AH$2,Mail!$A45)-LEN(AH$2)-1))))</f>
        <v/>
      </c>
      <c r="AI47" s="8" t="str">
        <f>TRIM(IF(ISERROR(FIND(AI$2,Mail!$A45)),"",MID(Mail!$A45,FIND(AI$2,Mail!$A45)+LEN(AI$2)+1,IF(ISERROR(FIND("■",Mail!$A45,FIND(AI$2,Mail!$A45)+LEN(AI$2))-FIND(AI$2,Mail!$A45)-LEN(AI$2)),LEN(Mail!$A45)-60-FIND(AI$2,Mail!$A45)-LEN(AI$2),FIND("■",Mail!$A45,FIND(AI$2,Mail!$A45)+LEN(AI$2))-FIND(AI$2,Mail!$A45)-LEN(AI$2)-1))))</f>
        <v/>
      </c>
    </row>
    <row r="48" spans="1:35" s="8" customFormat="1" x14ac:dyDescent="0.15">
      <c r="A48" s="9" t="str">
        <f t="shared" si="1"/>
        <v/>
      </c>
      <c r="B48" s="8" t="str">
        <f>CLEAN(SUBSTITUTE(IF(ISERROR(FIND("yokohama",Mail!$A46)),"",MID(Mail!$A46,FIND("yokohama",Mail!$A46)+LEN("yokohama")+1,FIND("件目",Mail!$A46,FIND("yokohama",Mail!$A46))-(FIND("yokohama",Mail!$A46)+LEN("yokohama")+1)))," ",""))</f>
        <v/>
      </c>
      <c r="C48" s="9" t="str">
        <f t="shared" si="4"/>
        <v/>
      </c>
      <c r="D48" s="9" t="str">
        <f t="shared" si="2"/>
        <v/>
      </c>
      <c r="E48" s="8" t="str">
        <f t="shared" si="3"/>
        <v/>
      </c>
      <c r="F48" s="8" t="str">
        <f>TRIM(CLEAN(IF(ISERROR(FIND(F$2,Mail!$A46)),"",MID(Mail!$A46,FIND(F$2,Mail!$A46)+LEN(F$2)+1,IF(ISERROR(FIND("■",Mail!$A46,FIND(F$2,Mail!$A46)+LEN(F$2))-FIND(F$2,Mail!$A46)-LEN(F$2)),LEN(Mail!$A46)-60-FIND(F$2,Mail!$A46)-LEN(F$2),FIND("■",Mail!$A46,FIND(F$2,Mail!$A46)+LEN(F$2))-FIND(F$2,Mail!$A46)-LEN(F$2)-1)))))</f>
        <v/>
      </c>
      <c r="G48" s="8" t="str">
        <f>TRIM(CLEAN(IF(ISERROR(FIND(G$2,Mail!$A46)),"",MID(Mail!$A46,FIND(G$2,Mail!$A46)+LEN(G$2)+1,IF(ISERROR(FIND("■",Mail!$A46,FIND(G$2,Mail!$A46)+LEN(G$2))-FIND(G$2,Mail!$A46)-LEN(G$2)),LEN(Mail!$A46)-60-FIND(G$2,Mail!$A46)-LEN(G$2),FIND("■",Mail!$A46,FIND(G$2,Mail!$A46)+LEN(G$2))-FIND(G$2,Mail!$A46)-LEN(G$2)-1)))))</f>
        <v/>
      </c>
      <c r="H48" s="8" t="str">
        <f>TRIM(CLEAN(IF(ISERROR(FIND(H$2,Mail!$A46)),"",MID(Mail!$A46,FIND(H$2,Mail!$A46)+LEN(H$2)+1,IF(ISERROR(FIND("■",Mail!$A46,FIND(H$2,Mail!$A46)+LEN(H$2))-FIND(H$2,Mail!$A46)-LEN(H$2)),LEN(Mail!$A46)-60-FIND(H$2,Mail!$A46)-LEN(H$2),FIND("■",Mail!$A46,FIND(H$2,Mail!$A46)+LEN(H$2))-FIND(H$2,Mail!$A46)-LEN(H$2)-1)))))</f>
        <v/>
      </c>
      <c r="I48" s="8" t="str">
        <f>TRIM(CLEAN(IF(ISERROR(FIND(I$2,Mail!$A46)),"",MID(Mail!$A46,FIND(I$2,Mail!$A46)+LEN(I$2)+1,IF(ISERROR(FIND("■",Mail!$A46,FIND(I$2,Mail!$A46)+LEN(I$2))-FIND(I$2,Mail!$A46)-LEN(I$2)),LEN(Mail!$A46)-60-FIND(I$2,Mail!$A46)-LEN(I$2),FIND("■",Mail!$A46,FIND(I$2,Mail!$A46)+LEN(I$2))-FIND(I$2,Mail!$A46)-LEN(I$2)-1)))))</f>
        <v/>
      </c>
      <c r="J48" s="8" t="str">
        <f>TRIM(IF(ISERROR(FIND(J$2,Mail!$A46)),"",MID(Mail!$A46,FIND(J$2,Mail!$A46)+LEN(J$2)+1,IF(ISERROR(FIND("■",Mail!$A46,FIND(J$2,Mail!$A46)+LEN(J$2))-FIND(J$2,Mail!$A46)-LEN(J$2)),LEN(Mail!$A46)-60-FIND(J$2,Mail!$A46)-LEN(J$2),FIND("■",Mail!$A46,FIND(J$2,Mail!$A46)+LEN(J$2))-FIND(J$2,Mail!$A46)-LEN(J$2)-1))))</f>
        <v/>
      </c>
      <c r="K48" s="8" t="str">
        <f>TRIM(IF(ISERROR(FIND(K$2,Mail!$A46)),"",MID(Mail!$A46,FIND(K$2,Mail!$A46)+LEN(K$2)+1,IF(ISERROR(FIND("■",Mail!$A46,FIND(K$2,Mail!$A46)+LEN(K$2))-FIND(K$2,Mail!$A46)-LEN(K$2)),LEN(Mail!$A46)-60-FIND(K$2,Mail!$A46)-LEN(K$2),FIND("■",Mail!$A46,FIND(K$2,Mail!$A46)+LEN(K$2))-FIND(K$2,Mail!$A46)-LEN(K$2)-1))))</f>
        <v/>
      </c>
      <c r="L48" s="8" t="str">
        <f>TRIM(IF(ISERROR(FIND(L$2,Mail!$A46)),"",MID(Mail!$A46,FIND(L$2,Mail!$A46)+LEN(L$2)+1,IF(ISERROR(FIND("■",Mail!$A46,FIND(L$2,Mail!$A46)+LEN(L$2))-FIND(L$2,Mail!$A46)-LEN(L$2)),LEN(Mail!$A46)-60-FIND(L$2,Mail!$A46)-LEN(L$2),FIND("■",Mail!$A46,FIND(L$2,Mail!$A46)+LEN(L$2))-FIND(L$2,Mail!$A46)-LEN(L$2)-1))))</f>
        <v/>
      </c>
      <c r="M48" s="8" t="str">
        <f>TRIM(CLEAN(IF(ISERROR(FIND(M$2,Mail!$A46)),"",MID(Mail!$A46,FIND(M$2,Mail!$A46)+LEN(M$2)+1,IF(ISERROR(FIND("■",Mail!$A46,FIND(M$2,Mail!$A46)+LEN(M$2))-FIND(M$2,Mail!$A46)-LEN(M$2)),LEN(Mail!$A46)-60-FIND(M$2,Mail!$A46)-LEN(M$2),FIND("■",Mail!$A46,FIND(M$2,Mail!$A46)+LEN(M$2))-FIND(M$2,Mail!$A46)-LEN(M$2)-1)))))</f>
        <v/>
      </c>
      <c r="N48" s="8" t="str">
        <f>TRIM(CLEAN(IF(ISERROR(FIND(N$2,Mail!$A46)),"",MID(Mail!$A46,FIND(N$2,Mail!$A46)+LEN(N$2)+1,IF(ISERROR(FIND("■",Mail!$A46,FIND(N$2,Mail!$A46)+LEN(N$2))-FIND(N$2,Mail!$A46)-LEN(N$2)),LEN(Mail!$A46)-60-FIND(N$2,Mail!$A46)-LEN(N$2),FIND("■",Mail!$A46,FIND(N$2,Mail!$A46)+LEN(N$2))-FIND(N$2,Mail!$A46)-LEN(N$2)-1)))))</f>
        <v/>
      </c>
      <c r="O48" s="8" t="str">
        <f>TRIM(CLEAN(IF(ISERROR(FIND(O$2,Mail!$A46)),"",MID(Mail!$A46,FIND(O$2,Mail!$A46)+LEN(O$2)+1,IF(ISERROR(FIND("■",Mail!$A46,FIND(O$2,Mail!$A46)+LEN(O$2))-FIND(O$2,Mail!$A46)-LEN(O$2)),LEN(Mail!$A46)-60-FIND(O$2,Mail!$A46)-LEN(O$2),FIND("■",Mail!$A46,FIND(O$2,Mail!$A46)+LEN(O$2))-FIND(O$2,Mail!$A46)-LEN(O$2)-1)))))</f>
        <v/>
      </c>
      <c r="P48" s="8" t="str">
        <f>TRIM(CLEAN(IF(ISERROR(FIND(P$2,Mail!$A46)),"",MID(Mail!$A46,FIND(P$2,Mail!$A46)+LEN(P$2)+1,IF(ISERROR(FIND("■",Mail!$A46,FIND(P$2,Mail!$A46)+LEN(P$2))-FIND(P$2,Mail!$A46)-LEN(P$2)),LEN(Mail!$A46)-60-FIND(P$2,Mail!$A46)-LEN(P$2),FIND("■",Mail!$A46,FIND(P$2,Mail!$A46)+LEN(P$2))-FIND(P$2,Mail!$A46)-LEN(P$2)-1)))))</f>
        <v/>
      </c>
      <c r="Q48" s="8" t="str">
        <f>TRIM(CLEAN(IF(ISERROR(FIND(Q$2,Mail!$A46)),"",MID(Mail!$A46,FIND(Q$2,Mail!$A46)+LEN(Q$2)+1,IF(ISERROR(FIND("■",Mail!$A46,FIND(Q$2,Mail!$A46)+LEN(Q$2))-FIND(Q$2,Mail!$A46)-LEN(Q$2)),LEN(Mail!$A46)-60-FIND(Q$2,Mail!$A46)-LEN(Q$2),FIND("■",Mail!$A46,FIND(Q$2,Mail!$A46)+LEN(Q$2))-FIND(Q$2,Mail!$A46)-LEN(Q$2)-1)))))</f>
        <v/>
      </c>
      <c r="R48" s="8" t="str">
        <f>TRIM(CLEAN(IF(ISERROR(FIND(R$2,Mail!$A46)),"",MID(Mail!$A46,FIND(R$2,Mail!$A46)+LEN(R$2)+1,IF(ISERROR(FIND("■",Mail!$A46,FIND(R$2,Mail!$A46)+LEN(R$2))-FIND(R$2,Mail!$A46)-LEN(R$2)),LEN(Mail!$A46)-60-FIND(R$2,Mail!$A46)-LEN(R$2),FIND("■",Mail!$A46,FIND(R$2,Mail!$A46)+LEN(R$2))-FIND(R$2,Mail!$A46)-LEN(R$2)-1)))))</f>
        <v/>
      </c>
      <c r="S48" s="8" t="str">
        <f>TRIM(CLEAN(IF(ISERROR(FIND(S$2,Mail!$A46)),"",MID(Mail!$A46,FIND(S$2,Mail!$A46)+LEN(S$2)+1,IF(ISERROR(FIND("■",Mail!$A46,FIND(S$2,Mail!$A46)+LEN(S$2))-FIND(S$2,Mail!$A46)-LEN(S$2)),LEN(Mail!$A46)-60-FIND(S$2,Mail!$A46)-LEN(S$2),FIND("■",Mail!$A46,FIND(S$2,Mail!$A46)+LEN(S$2))-FIND(S$2,Mail!$A46)-LEN(S$2)-1)))))</f>
        <v/>
      </c>
      <c r="T48" s="8" t="str">
        <f>TRIM(CLEAN(IF(ISERROR(FIND(T$2,Mail!$A46)),"",MID(Mail!$A46,FIND(T$2,Mail!$A46)+LEN(T$2)+1,IF(ISERROR(FIND("■",Mail!$A46,FIND(T$2,Mail!$A46)+LEN(T$2))-FIND(T$2,Mail!$A46)-LEN(T$2)),LEN(Mail!$A46)-60-FIND(T$2,Mail!$A46)-LEN(T$2),FIND("■",Mail!$A46,FIND(T$2,Mail!$A46)+LEN(T$2))-FIND(T$2,Mail!$A46)-LEN(T$2)-1)))))</f>
        <v/>
      </c>
      <c r="U48" s="8" t="str">
        <f>TRIM(CLEAN(IF(ISERROR(FIND(U$2,Mail!$A46)),"",MID(Mail!$A46,FIND(U$2,Mail!$A46)+LEN(U$2)+1,IF(ISERROR(FIND("■",Mail!$A46,FIND(U$2,Mail!$A46)+LEN(U$2))-FIND(U$2,Mail!$A46)-LEN(U$2)),LEN(Mail!$A46)-60-FIND(U$2,Mail!$A46)-LEN(U$2),FIND("■",Mail!$A46,FIND(U$2,Mail!$A46)+LEN(U$2))-FIND(U$2,Mail!$A46)-LEN(U$2)-1)))))</f>
        <v/>
      </c>
      <c r="V48" s="8" t="str">
        <f>TRIM(CLEAN(IF(ISERROR(FIND(V$2,Mail!$A46)),"",MID(Mail!$A46,FIND(V$2,Mail!$A46)+LEN(V$2)+1,IF(ISERROR(FIND("■",Mail!$A46,FIND(V$2,Mail!$A46)+LEN(V$2))-FIND(V$2,Mail!$A46)-LEN(V$2)),LEN(Mail!$A46)-60-FIND(V$2,Mail!$A46)-LEN(V$2),FIND("■",Mail!$A46,FIND(V$2,Mail!$A46)+LEN(V$2))-FIND(V$2,Mail!$A46)-LEN(V$2)-1)))))</f>
        <v/>
      </c>
      <c r="W48" s="8" t="str">
        <f>TRIM(CLEAN(IF(ISERROR(FIND(W$2,Mail!$A46)),"",MID(Mail!$A46,FIND(W$2,Mail!$A46)+LEN(W$2)+1,IF(ISERROR(FIND("■",Mail!$A46,FIND(W$2,Mail!$A46)+LEN(W$2))-FIND(W$2,Mail!$A46)-LEN(W$2)),LEN(Mail!$A46)-60-FIND(W$2,Mail!$A46)-LEN(W$2),FIND("■",Mail!$A46,FIND(W$2,Mail!$A46)+LEN(W$2))-FIND(W$2,Mail!$A46)-LEN(W$2)-1)))))</f>
        <v/>
      </c>
      <c r="X48" s="8" t="str">
        <f>TRIM(IF(ISERROR(FIND(X$2,Mail!$A46)),"",MID(Mail!$A46,FIND(X$2,Mail!$A46)+LEN(X$2)+1,IF(ISERROR(FIND("■",Mail!$A46,FIND(X$2,Mail!$A46)+LEN(X$2))-FIND(X$2,Mail!$A46)-LEN(X$2)),LEN(Mail!$A46)-60-FIND(X$2,Mail!$A46)-LEN(X$2),FIND("■",Mail!$A46,FIND(X$2,Mail!$A46)+LEN(X$2))-FIND(X$2,Mail!$A46)-LEN(X$2)-1))))</f>
        <v/>
      </c>
      <c r="Y48" s="8" t="str">
        <f>TRIM(CLEAN(IF(ISERROR(FIND(Y$2,Mail!$A46)),"",MID(Mail!$A46,FIND(Y$2,Mail!$A46)+LEN(Y$2)+1,IF(ISERROR(FIND("■",Mail!$A46,FIND(Y$2,Mail!$A46)+LEN(Y$2))-FIND(Y$2,Mail!$A46)-LEN(Y$2)),LEN(Mail!$A46)-60-FIND(Y$2,Mail!$A46)-LEN(Y$2),FIND("■",Mail!$A46,FIND(Y$2,Mail!$A46)+LEN(Y$2))-FIND(Y$2,Mail!$A46)-LEN(Y$2)-1)))))</f>
        <v/>
      </c>
      <c r="Z48" s="8" t="str">
        <f>TRIM(CLEAN(IF(ISERROR(FIND(Z$2,Mail!$A46)),"",MID(Mail!$A46,FIND(Z$2,Mail!$A46)+LEN(Z$2)+1,IF(ISERROR(FIND("■",Mail!$A46,FIND(Z$2,Mail!$A46)+LEN(Z$2))-FIND(Z$2,Mail!$A46)-LEN(Z$2)),LEN(Mail!$A46)-60-FIND(Z$2,Mail!$A46)-LEN(Z$2),FIND("■",Mail!$A46,FIND(Z$2,Mail!$A46)+LEN(Z$2))-FIND(Z$2,Mail!$A46)-LEN(Z$2)-1)))))</f>
        <v/>
      </c>
      <c r="AA48" s="8" t="str">
        <f>TRIM(CLEAN(IF(ISERROR(FIND(AA$2,Mail!$A46)),"",MID(Mail!$A46,FIND(AA$2,Mail!$A46)+LEN(AA$2)+1,IF(ISERROR(FIND("■",Mail!$A46,FIND(AA$2,Mail!$A46)+LEN(AA$2))-FIND(AA$2,Mail!$A46)-LEN(AA$2)),LEN(Mail!$A46)-60-FIND(AA$2,Mail!$A46)-LEN(AA$2),FIND("■",Mail!$A46,FIND(AA$2,Mail!$A46)+LEN(AA$2))-FIND(AA$2,Mail!$A46)-LEN(AA$2)-1)))))</f>
        <v/>
      </c>
      <c r="AB48" s="8" t="str">
        <f>TRIM(CLEAN(IF(ISERROR(FIND(AB$2,Mail!$A46)),"",MID(Mail!$A46,FIND(AB$2,Mail!$A46)+LEN(AB$2)+1,IF(ISERROR(FIND("■",Mail!$A46,FIND(AB$2,Mail!$A46)+LEN(AB$2))-FIND(AB$2,Mail!$A46)-LEN(AB$2)),LEN(Mail!$A46)-60-FIND(AB$2,Mail!$A46)-LEN(AB$2),FIND("■",Mail!$A46,FIND(AB$2,Mail!$A46)+LEN(AB$2))-FIND(AB$2,Mail!$A46)-LEN(AB$2)-1)))))</f>
        <v/>
      </c>
      <c r="AC48" s="8" t="str">
        <f>TRIM(CLEAN(IF(ISERROR(FIND(AC$2,Mail!$A46)),"",MID(Mail!$A46,FIND(AC$2,Mail!$A46)+LEN(AC$2)+1,IF(ISERROR(FIND("■",Mail!$A46,FIND(AC$2,Mail!$A46)+LEN(AC$2))-FIND(AC$2,Mail!$A46)-LEN(AC$2)),LEN(Mail!$A46)-60-FIND(AC$2,Mail!$A46)-LEN(AC$2),FIND("■",Mail!$A46,FIND(AC$2,Mail!$A46)+LEN(AC$2))-FIND(AC$2,Mail!$A46)-LEN(AC$2)-1)))))</f>
        <v/>
      </c>
      <c r="AD48" s="8" t="str">
        <f>TRIM(CLEAN(IF(ISERROR(FIND(AD$2,Mail!$A46)),"",MID(Mail!$A46,FIND(AD$2,Mail!$A46)+LEN(AD$2)+1,IF(ISERROR(FIND("■",Mail!$A46,FIND(AD$2,Mail!$A46)+LEN(AD$2))-FIND(AD$2,Mail!$A46)-LEN(AD$2)),LEN(Mail!$A46)-60-FIND(AD$2,Mail!$A46)-LEN(AD$2),FIND("■",Mail!$A46,FIND(AD$2,Mail!$A46)+LEN(AD$2))-FIND(AD$2,Mail!$A46)-LEN(AD$2)-1)))))</f>
        <v/>
      </c>
      <c r="AE48" s="8" t="str">
        <f>TRIM(CLEAN(IF(ISERROR(FIND(AE$2,Mail!$A46)),"",MID(Mail!$A46,FIND(AE$2,Mail!$A46)+LEN(AE$2)+1,IF(ISERROR(FIND("■",Mail!$A46,FIND(AE$2,Mail!$A46)+LEN(AE$2))-FIND(AE$2,Mail!$A46)-LEN(AE$2)),LEN(Mail!$A46)-60-FIND(AE$2,Mail!$A46)-LEN(AE$2),FIND("■",Mail!$A46,FIND(AE$2,Mail!$A46)+LEN(AE$2))-FIND(AE$2,Mail!$A46)-LEN(AE$2)-1)))))</f>
        <v/>
      </c>
      <c r="AF48" s="8" t="str">
        <f>TRIM(CLEAN(IF(ISERROR(FIND(AF$2,Mail!$A46)),"",MID(Mail!$A46,FIND(AF$2,Mail!$A46)+LEN(AF$2)+1,IF(ISERROR(FIND("■",Mail!$A46,FIND(AF$2,Mail!$A46)+LEN(AF$2))-FIND(AF$2,Mail!$A46)-LEN(AF$2)),LEN(Mail!$A46)-60-FIND(AF$2,Mail!$A46)-LEN(AF$2),FIND("■",Mail!$A46,FIND(AF$2,Mail!$A46)+LEN(AF$2))-FIND(AF$2,Mail!$A46)-LEN(AF$2)-1)))))</f>
        <v/>
      </c>
      <c r="AG48" s="8" t="str">
        <f>TRIM(IF(ISERROR(FIND(AG$2,Mail!$A46)),"",MID(Mail!$A46,FIND(AG$2,Mail!$A46)+LEN(AG$2)+1,IF(ISERROR(FIND("■",Mail!$A46,FIND(AG$2,Mail!$A46)+LEN(AG$2))-FIND(AG$2,Mail!$A46)-LEN(AG$2)),LEN(Mail!$A46)-60-FIND(AG$2,Mail!$A46)-LEN(AG$2),FIND("■",Mail!$A46,FIND(AG$2,Mail!$A46)+LEN(AG$2))-FIND(AG$2,Mail!$A46)-LEN(AG$2)-1))))</f>
        <v/>
      </c>
      <c r="AH48" s="8" t="str">
        <f>TRIM(IF(ISERROR(FIND(AH$2,Mail!$A46)),"",MID(Mail!$A46,FIND(AH$2,Mail!$A46)+LEN(AH$2)+1,IF(ISERROR(FIND("■",Mail!$A46,FIND(AH$2,Mail!$A46)+LEN(AH$2))-FIND(AH$2,Mail!$A46)-LEN(AH$2)),LEN(Mail!$A46)-60-FIND(AH$2,Mail!$A46)-LEN(AH$2),FIND("■",Mail!$A46,FIND(AH$2,Mail!$A46)+LEN(AH$2))-FIND(AH$2,Mail!$A46)-LEN(AH$2)-1))))</f>
        <v/>
      </c>
      <c r="AI48" s="8" t="str">
        <f>TRIM(IF(ISERROR(FIND(AI$2,Mail!$A46)),"",MID(Mail!$A46,FIND(AI$2,Mail!$A46)+LEN(AI$2)+1,IF(ISERROR(FIND("■",Mail!$A46,FIND(AI$2,Mail!$A46)+LEN(AI$2))-FIND(AI$2,Mail!$A46)-LEN(AI$2)),LEN(Mail!$A46)-60-FIND(AI$2,Mail!$A46)-LEN(AI$2),FIND("■",Mail!$A46,FIND(AI$2,Mail!$A46)+LEN(AI$2))-FIND(AI$2,Mail!$A46)-LEN(AI$2)-1))))</f>
        <v/>
      </c>
    </row>
    <row r="49" spans="1:35" s="8" customFormat="1" x14ac:dyDescent="0.15">
      <c r="A49" s="9" t="str">
        <f t="shared" si="1"/>
        <v/>
      </c>
      <c r="B49" s="8" t="str">
        <f>CLEAN(SUBSTITUTE(IF(ISERROR(FIND("yokohama",Mail!$A47)),"",MID(Mail!$A47,FIND("yokohama",Mail!$A47)+LEN("yokohama")+1,FIND("件目",Mail!$A47,FIND("yokohama",Mail!$A47))-(FIND("yokohama",Mail!$A47)+LEN("yokohama")+1)))," ",""))</f>
        <v/>
      </c>
      <c r="C49" s="9" t="str">
        <f t="shared" si="4"/>
        <v/>
      </c>
      <c r="D49" s="9" t="str">
        <f t="shared" si="2"/>
        <v/>
      </c>
      <c r="E49" s="8" t="str">
        <f t="shared" si="3"/>
        <v/>
      </c>
      <c r="F49" s="8" t="str">
        <f>TRIM(CLEAN(IF(ISERROR(FIND(F$2,Mail!$A47)),"",MID(Mail!$A47,FIND(F$2,Mail!$A47)+LEN(F$2)+1,IF(ISERROR(FIND("■",Mail!$A47,FIND(F$2,Mail!$A47)+LEN(F$2))-FIND(F$2,Mail!$A47)-LEN(F$2)),LEN(Mail!$A47)-60-FIND(F$2,Mail!$A47)-LEN(F$2),FIND("■",Mail!$A47,FIND(F$2,Mail!$A47)+LEN(F$2))-FIND(F$2,Mail!$A47)-LEN(F$2)-1)))))</f>
        <v/>
      </c>
      <c r="G49" s="8" t="str">
        <f>TRIM(CLEAN(IF(ISERROR(FIND(G$2,Mail!$A47)),"",MID(Mail!$A47,FIND(G$2,Mail!$A47)+LEN(G$2)+1,IF(ISERROR(FIND("■",Mail!$A47,FIND(G$2,Mail!$A47)+LEN(G$2))-FIND(G$2,Mail!$A47)-LEN(G$2)),LEN(Mail!$A47)-60-FIND(G$2,Mail!$A47)-LEN(G$2),FIND("■",Mail!$A47,FIND(G$2,Mail!$A47)+LEN(G$2))-FIND(G$2,Mail!$A47)-LEN(G$2)-1)))))</f>
        <v/>
      </c>
      <c r="H49" s="8" t="str">
        <f>TRIM(CLEAN(IF(ISERROR(FIND(H$2,Mail!$A47)),"",MID(Mail!$A47,FIND(H$2,Mail!$A47)+LEN(H$2)+1,IF(ISERROR(FIND("■",Mail!$A47,FIND(H$2,Mail!$A47)+LEN(H$2))-FIND(H$2,Mail!$A47)-LEN(H$2)),LEN(Mail!$A47)-60-FIND(H$2,Mail!$A47)-LEN(H$2),FIND("■",Mail!$A47,FIND(H$2,Mail!$A47)+LEN(H$2))-FIND(H$2,Mail!$A47)-LEN(H$2)-1)))))</f>
        <v/>
      </c>
      <c r="I49" s="8" t="str">
        <f>TRIM(CLEAN(IF(ISERROR(FIND(I$2,Mail!$A47)),"",MID(Mail!$A47,FIND(I$2,Mail!$A47)+LEN(I$2)+1,IF(ISERROR(FIND("■",Mail!$A47,FIND(I$2,Mail!$A47)+LEN(I$2))-FIND(I$2,Mail!$A47)-LEN(I$2)),LEN(Mail!$A47)-60-FIND(I$2,Mail!$A47)-LEN(I$2),FIND("■",Mail!$A47,FIND(I$2,Mail!$A47)+LEN(I$2))-FIND(I$2,Mail!$A47)-LEN(I$2)-1)))))</f>
        <v/>
      </c>
      <c r="J49" s="8" t="str">
        <f>TRIM(IF(ISERROR(FIND(J$2,Mail!$A47)),"",MID(Mail!$A47,FIND(J$2,Mail!$A47)+LEN(J$2)+1,IF(ISERROR(FIND("■",Mail!$A47,FIND(J$2,Mail!$A47)+LEN(J$2))-FIND(J$2,Mail!$A47)-LEN(J$2)),LEN(Mail!$A47)-60-FIND(J$2,Mail!$A47)-LEN(J$2),FIND("■",Mail!$A47,FIND(J$2,Mail!$A47)+LEN(J$2))-FIND(J$2,Mail!$A47)-LEN(J$2)-1))))</f>
        <v/>
      </c>
      <c r="K49" s="8" t="str">
        <f>TRIM(IF(ISERROR(FIND(K$2,Mail!$A47)),"",MID(Mail!$A47,FIND(K$2,Mail!$A47)+LEN(K$2)+1,IF(ISERROR(FIND("■",Mail!$A47,FIND(K$2,Mail!$A47)+LEN(K$2))-FIND(K$2,Mail!$A47)-LEN(K$2)),LEN(Mail!$A47)-60-FIND(K$2,Mail!$A47)-LEN(K$2),FIND("■",Mail!$A47,FIND(K$2,Mail!$A47)+LEN(K$2))-FIND(K$2,Mail!$A47)-LEN(K$2)-1))))</f>
        <v/>
      </c>
      <c r="L49" s="8" t="str">
        <f>TRIM(IF(ISERROR(FIND(L$2,Mail!$A47)),"",MID(Mail!$A47,FIND(L$2,Mail!$A47)+LEN(L$2)+1,IF(ISERROR(FIND("■",Mail!$A47,FIND(L$2,Mail!$A47)+LEN(L$2))-FIND(L$2,Mail!$A47)-LEN(L$2)),LEN(Mail!$A47)-60-FIND(L$2,Mail!$A47)-LEN(L$2),FIND("■",Mail!$A47,FIND(L$2,Mail!$A47)+LEN(L$2))-FIND(L$2,Mail!$A47)-LEN(L$2)-1))))</f>
        <v/>
      </c>
      <c r="M49" s="8" t="str">
        <f>TRIM(CLEAN(IF(ISERROR(FIND(M$2,Mail!$A47)),"",MID(Mail!$A47,FIND(M$2,Mail!$A47)+LEN(M$2)+1,IF(ISERROR(FIND("■",Mail!$A47,FIND(M$2,Mail!$A47)+LEN(M$2))-FIND(M$2,Mail!$A47)-LEN(M$2)),LEN(Mail!$A47)-60-FIND(M$2,Mail!$A47)-LEN(M$2),FIND("■",Mail!$A47,FIND(M$2,Mail!$A47)+LEN(M$2))-FIND(M$2,Mail!$A47)-LEN(M$2)-1)))))</f>
        <v/>
      </c>
      <c r="N49" s="8" t="str">
        <f>TRIM(CLEAN(IF(ISERROR(FIND(N$2,Mail!$A47)),"",MID(Mail!$A47,FIND(N$2,Mail!$A47)+LEN(N$2)+1,IF(ISERROR(FIND("■",Mail!$A47,FIND(N$2,Mail!$A47)+LEN(N$2))-FIND(N$2,Mail!$A47)-LEN(N$2)),LEN(Mail!$A47)-60-FIND(N$2,Mail!$A47)-LEN(N$2),FIND("■",Mail!$A47,FIND(N$2,Mail!$A47)+LEN(N$2))-FIND(N$2,Mail!$A47)-LEN(N$2)-1)))))</f>
        <v/>
      </c>
      <c r="O49" s="8" t="str">
        <f>TRIM(CLEAN(IF(ISERROR(FIND(O$2,Mail!$A47)),"",MID(Mail!$A47,FIND(O$2,Mail!$A47)+LEN(O$2)+1,IF(ISERROR(FIND("■",Mail!$A47,FIND(O$2,Mail!$A47)+LEN(O$2))-FIND(O$2,Mail!$A47)-LEN(O$2)),LEN(Mail!$A47)-60-FIND(O$2,Mail!$A47)-LEN(O$2),FIND("■",Mail!$A47,FIND(O$2,Mail!$A47)+LEN(O$2))-FIND(O$2,Mail!$A47)-LEN(O$2)-1)))))</f>
        <v/>
      </c>
      <c r="P49" s="8" t="str">
        <f>TRIM(CLEAN(IF(ISERROR(FIND(P$2,Mail!$A47)),"",MID(Mail!$A47,FIND(P$2,Mail!$A47)+LEN(P$2)+1,IF(ISERROR(FIND("■",Mail!$A47,FIND(P$2,Mail!$A47)+LEN(P$2))-FIND(P$2,Mail!$A47)-LEN(P$2)),LEN(Mail!$A47)-60-FIND(P$2,Mail!$A47)-LEN(P$2),FIND("■",Mail!$A47,FIND(P$2,Mail!$A47)+LEN(P$2))-FIND(P$2,Mail!$A47)-LEN(P$2)-1)))))</f>
        <v/>
      </c>
      <c r="Q49" s="8" t="str">
        <f>TRIM(CLEAN(IF(ISERROR(FIND(Q$2,Mail!$A47)),"",MID(Mail!$A47,FIND(Q$2,Mail!$A47)+LEN(Q$2)+1,IF(ISERROR(FIND("■",Mail!$A47,FIND(Q$2,Mail!$A47)+LEN(Q$2))-FIND(Q$2,Mail!$A47)-LEN(Q$2)),LEN(Mail!$A47)-60-FIND(Q$2,Mail!$A47)-LEN(Q$2),FIND("■",Mail!$A47,FIND(Q$2,Mail!$A47)+LEN(Q$2))-FIND(Q$2,Mail!$A47)-LEN(Q$2)-1)))))</f>
        <v/>
      </c>
      <c r="R49" s="8" t="str">
        <f>TRIM(CLEAN(IF(ISERROR(FIND(R$2,Mail!$A47)),"",MID(Mail!$A47,FIND(R$2,Mail!$A47)+LEN(R$2)+1,IF(ISERROR(FIND("■",Mail!$A47,FIND(R$2,Mail!$A47)+LEN(R$2))-FIND(R$2,Mail!$A47)-LEN(R$2)),LEN(Mail!$A47)-60-FIND(R$2,Mail!$A47)-LEN(R$2),FIND("■",Mail!$A47,FIND(R$2,Mail!$A47)+LEN(R$2))-FIND(R$2,Mail!$A47)-LEN(R$2)-1)))))</f>
        <v/>
      </c>
      <c r="S49" s="8" t="str">
        <f>TRIM(CLEAN(IF(ISERROR(FIND(S$2,Mail!$A47)),"",MID(Mail!$A47,FIND(S$2,Mail!$A47)+LEN(S$2)+1,IF(ISERROR(FIND("■",Mail!$A47,FIND(S$2,Mail!$A47)+LEN(S$2))-FIND(S$2,Mail!$A47)-LEN(S$2)),LEN(Mail!$A47)-60-FIND(S$2,Mail!$A47)-LEN(S$2),FIND("■",Mail!$A47,FIND(S$2,Mail!$A47)+LEN(S$2))-FIND(S$2,Mail!$A47)-LEN(S$2)-1)))))</f>
        <v/>
      </c>
      <c r="T49" s="8" t="str">
        <f>TRIM(CLEAN(IF(ISERROR(FIND(T$2,Mail!$A47)),"",MID(Mail!$A47,FIND(T$2,Mail!$A47)+LEN(T$2)+1,IF(ISERROR(FIND("■",Mail!$A47,FIND(T$2,Mail!$A47)+LEN(T$2))-FIND(T$2,Mail!$A47)-LEN(T$2)),LEN(Mail!$A47)-60-FIND(T$2,Mail!$A47)-LEN(T$2),FIND("■",Mail!$A47,FIND(T$2,Mail!$A47)+LEN(T$2))-FIND(T$2,Mail!$A47)-LEN(T$2)-1)))))</f>
        <v/>
      </c>
      <c r="U49" s="8" t="str">
        <f>TRIM(CLEAN(IF(ISERROR(FIND(U$2,Mail!$A47)),"",MID(Mail!$A47,FIND(U$2,Mail!$A47)+LEN(U$2)+1,IF(ISERROR(FIND("■",Mail!$A47,FIND(U$2,Mail!$A47)+LEN(U$2))-FIND(U$2,Mail!$A47)-LEN(U$2)),LEN(Mail!$A47)-60-FIND(U$2,Mail!$A47)-LEN(U$2),FIND("■",Mail!$A47,FIND(U$2,Mail!$A47)+LEN(U$2))-FIND(U$2,Mail!$A47)-LEN(U$2)-1)))))</f>
        <v/>
      </c>
      <c r="V49" s="8" t="str">
        <f>TRIM(CLEAN(IF(ISERROR(FIND(V$2,Mail!$A47)),"",MID(Mail!$A47,FIND(V$2,Mail!$A47)+LEN(V$2)+1,IF(ISERROR(FIND("■",Mail!$A47,FIND(V$2,Mail!$A47)+LEN(V$2))-FIND(V$2,Mail!$A47)-LEN(V$2)),LEN(Mail!$A47)-60-FIND(V$2,Mail!$A47)-LEN(V$2),FIND("■",Mail!$A47,FIND(V$2,Mail!$A47)+LEN(V$2))-FIND(V$2,Mail!$A47)-LEN(V$2)-1)))))</f>
        <v/>
      </c>
      <c r="W49" s="8" t="str">
        <f>TRIM(CLEAN(IF(ISERROR(FIND(W$2,Mail!$A47)),"",MID(Mail!$A47,FIND(W$2,Mail!$A47)+LEN(W$2)+1,IF(ISERROR(FIND("■",Mail!$A47,FIND(W$2,Mail!$A47)+LEN(W$2))-FIND(W$2,Mail!$A47)-LEN(W$2)),LEN(Mail!$A47)-60-FIND(W$2,Mail!$A47)-LEN(W$2),FIND("■",Mail!$A47,FIND(W$2,Mail!$A47)+LEN(W$2))-FIND(W$2,Mail!$A47)-LEN(W$2)-1)))))</f>
        <v/>
      </c>
      <c r="X49" s="8" t="str">
        <f>TRIM(IF(ISERROR(FIND(X$2,Mail!$A47)),"",MID(Mail!$A47,FIND(X$2,Mail!$A47)+LEN(X$2)+1,IF(ISERROR(FIND("■",Mail!$A47,FIND(X$2,Mail!$A47)+LEN(X$2))-FIND(X$2,Mail!$A47)-LEN(X$2)),LEN(Mail!$A47)-60-FIND(X$2,Mail!$A47)-LEN(X$2),FIND("■",Mail!$A47,FIND(X$2,Mail!$A47)+LEN(X$2))-FIND(X$2,Mail!$A47)-LEN(X$2)-1))))</f>
        <v/>
      </c>
      <c r="Y49" s="8" t="str">
        <f>TRIM(CLEAN(IF(ISERROR(FIND(Y$2,Mail!$A47)),"",MID(Mail!$A47,FIND(Y$2,Mail!$A47)+LEN(Y$2)+1,IF(ISERROR(FIND("■",Mail!$A47,FIND(Y$2,Mail!$A47)+LEN(Y$2))-FIND(Y$2,Mail!$A47)-LEN(Y$2)),LEN(Mail!$A47)-60-FIND(Y$2,Mail!$A47)-LEN(Y$2),FIND("■",Mail!$A47,FIND(Y$2,Mail!$A47)+LEN(Y$2))-FIND(Y$2,Mail!$A47)-LEN(Y$2)-1)))))</f>
        <v/>
      </c>
      <c r="Z49" s="8" t="str">
        <f>TRIM(CLEAN(IF(ISERROR(FIND(Z$2,Mail!$A47)),"",MID(Mail!$A47,FIND(Z$2,Mail!$A47)+LEN(Z$2)+1,IF(ISERROR(FIND("■",Mail!$A47,FIND(Z$2,Mail!$A47)+LEN(Z$2))-FIND(Z$2,Mail!$A47)-LEN(Z$2)),LEN(Mail!$A47)-60-FIND(Z$2,Mail!$A47)-LEN(Z$2),FIND("■",Mail!$A47,FIND(Z$2,Mail!$A47)+LEN(Z$2))-FIND(Z$2,Mail!$A47)-LEN(Z$2)-1)))))</f>
        <v/>
      </c>
      <c r="AA49" s="8" t="str">
        <f>TRIM(CLEAN(IF(ISERROR(FIND(AA$2,Mail!$A47)),"",MID(Mail!$A47,FIND(AA$2,Mail!$A47)+LEN(AA$2)+1,IF(ISERROR(FIND("■",Mail!$A47,FIND(AA$2,Mail!$A47)+LEN(AA$2))-FIND(AA$2,Mail!$A47)-LEN(AA$2)),LEN(Mail!$A47)-60-FIND(AA$2,Mail!$A47)-LEN(AA$2),FIND("■",Mail!$A47,FIND(AA$2,Mail!$A47)+LEN(AA$2))-FIND(AA$2,Mail!$A47)-LEN(AA$2)-1)))))</f>
        <v/>
      </c>
      <c r="AB49" s="8" t="str">
        <f>TRIM(CLEAN(IF(ISERROR(FIND(AB$2,Mail!$A47)),"",MID(Mail!$A47,FIND(AB$2,Mail!$A47)+LEN(AB$2)+1,IF(ISERROR(FIND("■",Mail!$A47,FIND(AB$2,Mail!$A47)+LEN(AB$2))-FIND(AB$2,Mail!$A47)-LEN(AB$2)),LEN(Mail!$A47)-60-FIND(AB$2,Mail!$A47)-LEN(AB$2),FIND("■",Mail!$A47,FIND(AB$2,Mail!$A47)+LEN(AB$2))-FIND(AB$2,Mail!$A47)-LEN(AB$2)-1)))))</f>
        <v/>
      </c>
      <c r="AC49" s="8" t="str">
        <f>TRIM(CLEAN(IF(ISERROR(FIND(AC$2,Mail!$A47)),"",MID(Mail!$A47,FIND(AC$2,Mail!$A47)+LEN(AC$2)+1,IF(ISERROR(FIND("■",Mail!$A47,FIND(AC$2,Mail!$A47)+LEN(AC$2))-FIND(AC$2,Mail!$A47)-LEN(AC$2)),LEN(Mail!$A47)-60-FIND(AC$2,Mail!$A47)-LEN(AC$2),FIND("■",Mail!$A47,FIND(AC$2,Mail!$A47)+LEN(AC$2))-FIND(AC$2,Mail!$A47)-LEN(AC$2)-1)))))</f>
        <v/>
      </c>
      <c r="AD49" s="8" t="str">
        <f>TRIM(CLEAN(IF(ISERROR(FIND(AD$2,Mail!$A47)),"",MID(Mail!$A47,FIND(AD$2,Mail!$A47)+LEN(AD$2)+1,IF(ISERROR(FIND("■",Mail!$A47,FIND(AD$2,Mail!$A47)+LEN(AD$2))-FIND(AD$2,Mail!$A47)-LEN(AD$2)),LEN(Mail!$A47)-60-FIND(AD$2,Mail!$A47)-LEN(AD$2),FIND("■",Mail!$A47,FIND(AD$2,Mail!$A47)+LEN(AD$2))-FIND(AD$2,Mail!$A47)-LEN(AD$2)-1)))))</f>
        <v/>
      </c>
      <c r="AE49" s="8" t="str">
        <f>TRIM(CLEAN(IF(ISERROR(FIND(AE$2,Mail!$A47)),"",MID(Mail!$A47,FIND(AE$2,Mail!$A47)+LEN(AE$2)+1,IF(ISERROR(FIND("■",Mail!$A47,FIND(AE$2,Mail!$A47)+LEN(AE$2))-FIND(AE$2,Mail!$A47)-LEN(AE$2)),LEN(Mail!$A47)-60-FIND(AE$2,Mail!$A47)-LEN(AE$2),FIND("■",Mail!$A47,FIND(AE$2,Mail!$A47)+LEN(AE$2))-FIND(AE$2,Mail!$A47)-LEN(AE$2)-1)))))</f>
        <v/>
      </c>
      <c r="AF49" s="8" t="str">
        <f>TRIM(CLEAN(IF(ISERROR(FIND(AF$2,Mail!$A47)),"",MID(Mail!$A47,FIND(AF$2,Mail!$A47)+LEN(AF$2)+1,IF(ISERROR(FIND("■",Mail!$A47,FIND(AF$2,Mail!$A47)+LEN(AF$2))-FIND(AF$2,Mail!$A47)-LEN(AF$2)),LEN(Mail!$A47)-60-FIND(AF$2,Mail!$A47)-LEN(AF$2),FIND("■",Mail!$A47,FIND(AF$2,Mail!$A47)+LEN(AF$2))-FIND(AF$2,Mail!$A47)-LEN(AF$2)-1)))))</f>
        <v/>
      </c>
      <c r="AG49" s="8" t="str">
        <f>TRIM(IF(ISERROR(FIND(AG$2,Mail!$A47)),"",MID(Mail!$A47,FIND(AG$2,Mail!$A47)+LEN(AG$2)+1,IF(ISERROR(FIND("■",Mail!$A47,FIND(AG$2,Mail!$A47)+LEN(AG$2))-FIND(AG$2,Mail!$A47)-LEN(AG$2)),LEN(Mail!$A47)-60-FIND(AG$2,Mail!$A47)-LEN(AG$2),FIND("■",Mail!$A47,FIND(AG$2,Mail!$A47)+LEN(AG$2))-FIND(AG$2,Mail!$A47)-LEN(AG$2)-1))))</f>
        <v/>
      </c>
      <c r="AH49" s="8" t="str">
        <f>TRIM(IF(ISERROR(FIND(AH$2,Mail!$A47)),"",MID(Mail!$A47,FIND(AH$2,Mail!$A47)+LEN(AH$2)+1,IF(ISERROR(FIND("■",Mail!$A47,FIND(AH$2,Mail!$A47)+LEN(AH$2))-FIND(AH$2,Mail!$A47)-LEN(AH$2)),LEN(Mail!$A47)-60-FIND(AH$2,Mail!$A47)-LEN(AH$2),FIND("■",Mail!$A47,FIND(AH$2,Mail!$A47)+LEN(AH$2))-FIND(AH$2,Mail!$A47)-LEN(AH$2)-1))))</f>
        <v/>
      </c>
      <c r="AI49" s="8" t="str">
        <f>TRIM(IF(ISERROR(FIND(AI$2,Mail!$A47)),"",MID(Mail!$A47,FIND(AI$2,Mail!$A47)+LEN(AI$2)+1,IF(ISERROR(FIND("■",Mail!$A47,FIND(AI$2,Mail!$A47)+LEN(AI$2))-FIND(AI$2,Mail!$A47)-LEN(AI$2)),LEN(Mail!$A47)-60-FIND(AI$2,Mail!$A47)-LEN(AI$2),FIND("■",Mail!$A47,FIND(AI$2,Mail!$A47)+LEN(AI$2))-FIND(AI$2,Mail!$A47)-LEN(AI$2)-1))))</f>
        <v/>
      </c>
    </row>
    <row r="50" spans="1:35" s="8" customFormat="1" x14ac:dyDescent="0.15">
      <c r="A50" s="9" t="str">
        <f t="shared" si="1"/>
        <v/>
      </c>
      <c r="B50" s="8" t="str">
        <f>CLEAN(SUBSTITUTE(IF(ISERROR(FIND("yokohama",Mail!$A48)),"",MID(Mail!$A48,FIND("yokohama",Mail!$A48)+LEN("yokohama")+1,FIND("件目",Mail!$A48,FIND("yokohama",Mail!$A48))-(FIND("yokohama",Mail!$A48)+LEN("yokohama")+1)))," ",""))</f>
        <v/>
      </c>
      <c r="C50" s="9" t="str">
        <f t="shared" si="4"/>
        <v/>
      </c>
      <c r="D50" s="9" t="str">
        <f t="shared" si="2"/>
        <v/>
      </c>
      <c r="E50" s="8" t="str">
        <f t="shared" si="3"/>
        <v/>
      </c>
      <c r="F50" s="8" t="str">
        <f>TRIM(CLEAN(IF(ISERROR(FIND(F$2,Mail!$A48)),"",MID(Mail!$A48,FIND(F$2,Mail!$A48)+LEN(F$2)+1,IF(ISERROR(FIND("■",Mail!$A48,FIND(F$2,Mail!$A48)+LEN(F$2))-FIND(F$2,Mail!$A48)-LEN(F$2)),LEN(Mail!$A48)-60-FIND(F$2,Mail!$A48)-LEN(F$2),FIND("■",Mail!$A48,FIND(F$2,Mail!$A48)+LEN(F$2))-FIND(F$2,Mail!$A48)-LEN(F$2)-1)))))</f>
        <v/>
      </c>
      <c r="G50" s="8" t="str">
        <f>TRIM(CLEAN(IF(ISERROR(FIND(G$2,Mail!$A48)),"",MID(Mail!$A48,FIND(G$2,Mail!$A48)+LEN(G$2)+1,IF(ISERROR(FIND("■",Mail!$A48,FIND(G$2,Mail!$A48)+LEN(G$2))-FIND(G$2,Mail!$A48)-LEN(G$2)),LEN(Mail!$A48)-60-FIND(G$2,Mail!$A48)-LEN(G$2),FIND("■",Mail!$A48,FIND(G$2,Mail!$A48)+LEN(G$2))-FIND(G$2,Mail!$A48)-LEN(G$2)-1)))))</f>
        <v/>
      </c>
      <c r="H50" s="8" t="str">
        <f>TRIM(CLEAN(IF(ISERROR(FIND(H$2,Mail!$A48)),"",MID(Mail!$A48,FIND(H$2,Mail!$A48)+LEN(H$2)+1,IF(ISERROR(FIND("■",Mail!$A48,FIND(H$2,Mail!$A48)+LEN(H$2))-FIND(H$2,Mail!$A48)-LEN(H$2)),LEN(Mail!$A48)-60-FIND(H$2,Mail!$A48)-LEN(H$2),FIND("■",Mail!$A48,FIND(H$2,Mail!$A48)+LEN(H$2))-FIND(H$2,Mail!$A48)-LEN(H$2)-1)))))</f>
        <v/>
      </c>
      <c r="I50" s="8" t="str">
        <f>TRIM(CLEAN(IF(ISERROR(FIND(I$2,Mail!$A48)),"",MID(Mail!$A48,FIND(I$2,Mail!$A48)+LEN(I$2)+1,IF(ISERROR(FIND("■",Mail!$A48,FIND(I$2,Mail!$A48)+LEN(I$2))-FIND(I$2,Mail!$A48)-LEN(I$2)),LEN(Mail!$A48)-60-FIND(I$2,Mail!$A48)-LEN(I$2),FIND("■",Mail!$A48,FIND(I$2,Mail!$A48)+LEN(I$2))-FIND(I$2,Mail!$A48)-LEN(I$2)-1)))))</f>
        <v/>
      </c>
      <c r="J50" s="8" t="str">
        <f>TRIM(IF(ISERROR(FIND(J$2,Mail!$A48)),"",MID(Mail!$A48,FIND(J$2,Mail!$A48)+LEN(J$2)+1,IF(ISERROR(FIND("■",Mail!$A48,FIND(J$2,Mail!$A48)+LEN(J$2))-FIND(J$2,Mail!$A48)-LEN(J$2)),LEN(Mail!$A48)-60-FIND(J$2,Mail!$A48)-LEN(J$2),FIND("■",Mail!$A48,FIND(J$2,Mail!$A48)+LEN(J$2))-FIND(J$2,Mail!$A48)-LEN(J$2)-1))))</f>
        <v/>
      </c>
      <c r="K50" s="8" t="str">
        <f>TRIM(IF(ISERROR(FIND(K$2,Mail!$A48)),"",MID(Mail!$A48,FIND(K$2,Mail!$A48)+LEN(K$2)+1,IF(ISERROR(FIND("■",Mail!$A48,FIND(K$2,Mail!$A48)+LEN(K$2))-FIND(K$2,Mail!$A48)-LEN(K$2)),LEN(Mail!$A48)-60-FIND(K$2,Mail!$A48)-LEN(K$2),FIND("■",Mail!$A48,FIND(K$2,Mail!$A48)+LEN(K$2))-FIND(K$2,Mail!$A48)-LEN(K$2)-1))))</f>
        <v/>
      </c>
      <c r="L50" s="8" t="str">
        <f>TRIM(IF(ISERROR(FIND(L$2,Mail!$A48)),"",MID(Mail!$A48,FIND(L$2,Mail!$A48)+LEN(L$2)+1,IF(ISERROR(FIND("■",Mail!$A48,FIND(L$2,Mail!$A48)+LEN(L$2))-FIND(L$2,Mail!$A48)-LEN(L$2)),LEN(Mail!$A48)-60-FIND(L$2,Mail!$A48)-LEN(L$2),FIND("■",Mail!$A48,FIND(L$2,Mail!$A48)+LEN(L$2))-FIND(L$2,Mail!$A48)-LEN(L$2)-1))))</f>
        <v/>
      </c>
      <c r="M50" s="8" t="str">
        <f>TRIM(CLEAN(IF(ISERROR(FIND(M$2,Mail!$A48)),"",MID(Mail!$A48,FIND(M$2,Mail!$A48)+LEN(M$2)+1,IF(ISERROR(FIND("■",Mail!$A48,FIND(M$2,Mail!$A48)+LEN(M$2))-FIND(M$2,Mail!$A48)-LEN(M$2)),LEN(Mail!$A48)-60-FIND(M$2,Mail!$A48)-LEN(M$2),FIND("■",Mail!$A48,FIND(M$2,Mail!$A48)+LEN(M$2))-FIND(M$2,Mail!$A48)-LEN(M$2)-1)))))</f>
        <v/>
      </c>
      <c r="N50" s="8" t="str">
        <f>TRIM(CLEAN(IF(ISERROR(FIND(N$2,Mail!$A48)),"",MID(Mail!$A48,FIND(N$2,Mail!$A48)+LEN(N$2)+1,IF(ISERROR(FIND("■",Mail!$A48,FIND(N$2,Mail!$A48)+LEN(N$2))-FIND(N$2,Mail!$A48)-LEN(N$2)),LEN(Mail!$A48)-60-FIND(N$2,Mail!$A48)-LEN(N$2),FIND("■",Mail!$A48,FIND(N$2,Mail!$A48)+LEN(N$2))-FIND(N$2,Mail!$A48)-LEN(N$2)-1)))))</f>
        <v/>
      </c>
      <c r="O50" s="8" t="str">
        <f>TRIM(CLEAN(IF(ISERROR(FIND(O$2,Mail!$A48)),"",MID(Mail!$A48,FIND(O$2,Mail!$A48)+LEN(O$2)+1,IF(ISERROR(FIND("■",Mail!$A48,FIND(O$2,Mail!$A48)+LEN(O$2))-FIND(O$2,Mail!$A48)-LEN(O$2)),LEN(Mail!$A48)-60-FIND(O$2,Mail!$A48)-LEN(O$2),FIND("■",Mail!$A48,FIND(O$2,Mail!$A48)+LEN(O$2))-FIND(O$2,Mail!$A48)-LEN(O$2)-1)))))</f>
        <v/>
      </c>
      <c r="P50" s="8" t="str">
        <f>TRIM(CLEAN(IF(ISERROR(FIND(P$2,Mail!$A48)),"",MID(Mail!$A48,FIND(P$2,Mail!$A48)+LEN(P$2)+1,IF(ISERROR(FIND("■",Mail!$A48,FIND(P$2,Mail!$A48)+LEN(P$2))-FIND(P$2,Mail!$A48)-LEN(P$2)),LEN(Mail!$A48)-60-FIND(P$2,Mail!$A48)-LEN(P$2),FIND("■",Mail!$A48,FIND(P$2,Mail!$A48)+LEN(P$2))-FIND(P$2,Mail!$A48)-LEN(P$2)-1)))))</f>
        <v/>
      </c>
      <c r="Q50" s="8" t="str">
        <f>TRIM(CLEAN(IF(ISERROR(FIND(Q$2,Mail!$A48)),"",MID(Mail!$A48,FIND(Q$2,Mail!$A48)+LEN(Q$2)+1,IF(ISERROR(FIND("■",Mail!$A48,FIND(Q$2,Mail!$A48)+LEN(Q$2))-FIND(Q$2,Mail!$A48)-LEN(Q$2)),LEN(Mail!$A48)-60-FIND(Q$2,Mail!$A48)-LEN(Q$2),FIND("■",Mail!$A48,FIND(Q$2,Mail!$A48)+LEN(Q$2))-FIND(Q$2,Mail!$A48)-LEN(Q$2)-1)))))</f>
        <v/>
      </c>
      <c r="R50" s="8" t="str">
        <f>TRIM(CLEAN(IF(ISERROR(FIND(R$2,Mail!$A48)),"",MID(Mail!$A48,FIND(R$2,Mail!$A48)+LEN(R$2)+1,IF(ISERROR(FIND("■",Mail!$A48,FIND(R$2,Mail!$A48)+LEN(R$2))-FIND(R$2,Mail!$A48)-LEN(R$2)),LEN(Mail!$A48)-60-FIND(R$2,Mail!$A48)-LEN(R$2),FIND("■",Mail!$A48,FIND(R$2,Mail!$A48)+LEN(R$2))-FIND(R$2,Mail!$A48)-LEN(R$2)-1)))))</f>
        <v/>
      </c>
      <c r="S50" s="8" t="str">
        <f>TRIM(CLEAN(IF(ISERROR(FIND(S$2,Mail!$A48)),"",MID(Mail!$A48,FIND(S$2,Mail!$A48)+LEN(S$2)+1,IF(ISERROR(FIND("■",Mail!$A48,FIND(S$2,Mail!$A48)+LEN(S$2))-FIND(S$2,Mail!$A48)-LEN(S$2)),LEN(Mail!$A48)-60-FIND(S$2,Mail!$A48)-LEN(S$2),FIND("■",Mail!$A48,FIND(S$2,Mail!$A48)+LEN(S$2))-FIND(S$2,Mail!$A48)-LEN(S$2)-1)))))</f>
        <v/>
      </c>
      <c r="T50" s="8" t="str">
        <f>TRIM(CLEAN(IF(ISERROR(FIND(T$2,Mail!$A48)),"",MID(Mail!$A48,FIND(T$2,Mail!$A48)+LEN(T$2)+1,IF(ISERROR(FIND("■",Mail!$A48,FIND(T$2,Mail!$A48)+LEN(T$2))-FIND(T$2,Mail!$A48)-LEN(T$2)),LEN(Mail!$A48)-60-FIND(T$2,Mail!$A48)-LEN(T$2),FIND("■",Mail!$A48,FIND(T$2,Mail!$A48)+LEN(T$2))-FIND(T$2,Mail!$A48)-LEN(T$2)-1)))))</f>
        <v/>
      </c>
      <c r="U50" s="8" t="str">
        <f>TRIM(CLEAN(IF(ISERROR(FIND(U$2,Mail!$A48)),"",MID(Mail!$A48,FIND(U$2,Mail!$A48)+LEN(U$2)+1,IF(ISERROR(FIND("■",Mail!$A48,FIND(U$2,Mail!$A48)+LEN(U$2))-FIND(U$2,Mail!$A48)-LEN(U$2)),LEN(Mail!$A48)-60-FIND(U$2,Mail!$A48)-LEN(U$2),FIND("■",Mail!$A48,FIND(U$2,Mail!$A48)+LEN(U$2))-FIND(U$2,Mail!$A48)-LEN(U$2)-1)))))</f>
        <v/>
      </c>
      <c r="V50" s="8" t="str">
        <f>TRIM(CLEAN(IF(ISERROR(FIND(V$2,Mail!$A48)),"",MID(Mail!$A48,FIND(V$2,Mail!$A48)+LEN(V$2)+1,IF(ISERROR(FIND("■",Mail!$A48,FIND(V$2,Mail!$A48)+LEN(V$2))-FIND(V$2,Mail!$A48)-LEN(V$2)),LEN(Mail!$A48)-60-FIND(V$2,Mail!$A48)-LEN(V$2),FIND("■",Mail!$A48,FIND(V$2,Mail!$A48)+LEN(V$2))-FIND(V$2,Mail!$A48)-LEN(V$2)-1)))))</f>
        <v/>
      </c>
      <c r="W50" s="8" t="str">
        <f>TRIM(CLEAN(IF(ISERROR(FIND(W$2,Mail!$A48)),"",MID(Mail!$A48,FIND(W$2,Mail!$A48)+LEN(W$2)+1,IF(ISERROR(FIND("■",Mail!$A48,FIND(W$2,Mail!$A48)+LEN(W$2))-FIND(W$2,Mail!$A48)-LEN(W$2)),LEN(Mail!$A48)-60-FIND(W$2,Mail!$A48)-LEN(W$2),FIND("■",Mail!$A48,FIND(W$2,Mail!$A48)+LEN(W$2))-FIND(W$2,Mail!$A48)-LEN(W$2)-1)))))</f>
        <v/>
      </c>
      <c r="X50" s="8" t="str">
        <f>TRIM(IF(ISERROR(FIND(X$2,Mail!$A48)),"",MID(Mail!$A48,FIND(X$2,Mail!$A48)+LEN(X$2)+1,IF(ISERROR(FIND("■",Mail!$A48,FIND(X$2,Mail!$A48)+LEN(X$2))-FIND(X$2,Mail!$A48)-LEN(X$2)),LEN(Mail!$A48)-60-FIND(X$2,Mail!$A48)-LEN(X$2),FIND("■",Mail!$A48,FIND(X$2,Mail!$A48)+LEN(X$2))-FIND(X$2,Mail!$A48)-LEN(X$2)-1))))</f>
        <v/>
      </c>
      <c r="Y50" s="8" t="str">
        <f>TRIM(CLEAN(IF(ISERROR(FIND(Y$2,Mail!$A48)),"",MID(Mail!$A48,FIND(Y$2,Mail!$A48)+LEN(Y$2)+1,IF(ISERROR(FIND("■",Mail!$A48,FIND(Y$2,Mail!$A48)+LEN(Y$2))-FIND(Y$2,Mail!$A48)-LEN(Y$2)),LEN(Mail!$A48)-60-FIND(Y$2,Mail!$A48)-LEN(Y$2),FIND("■",Mail!$A48,FIND(Y$2,Mail!$A48)+LEN(Y$2))-FIND(Y$2,Mail!$A48)-LEN(Y$2)-1)))))</f>
        <v/>
      </c>
      <c r="Z50" s="8" t="str">
        <f>TRIM(CLEAN(IF(ISERROR(FIND(Z$2,Mail!$A48)),"",MID(Mail!$A48,FIND(Z$2,Mail!$A48)+LEN(Z$2)+1,IF(ISERROR(FIND("■",Mail!$A48,FIND(Z$2,Mail!$A48)+LEN(Z$2))-FIND(Z$2,Mail!$A48)-LEN(Z$2)),LEN(Mail!$A48)-60-FIND(Z$2,Mail!$A48)-LEN(Z$2),FIND("■",Mail!$A48,FIND(Z$2,Mail!$A48)+LEN(Z$2))-FIND(Z$2,Mail!$A48)-LEN(Z$2)-1)))))</f>
        <v/>
      </c>
      <c r="AA50" s="8" t="str">
        <f>TRIM(CLEAN(IF(ISERROR(FIND(AA$2,Mail!$A48)),"",MID(Mail!$A48,FIND(AA$2,Mail!$A48)+LEN(AA$2)+1,IF(ISERROR(FIND("■",Mail!$A48,FIND(AA$2,Mail!$A48)+LEN(AA$2))-FIND(AA$2,Mail!$A48)-LEN(AA$2)),LEN(Mail!$A48)-60-FIND(AA$2,Mail!$A48)-LEN(AA$2),FIND("■",Mail!$A48,FIND(AA$2,Mail!$A48)+LEN(AA$2))-FIND(AA$2,Mail!$A48)-LEN(AA$2)-1)))))</f>
        <v/>
      </c>
      <c r="AB50" s="8" t="str">
        <f>TRIM(CLEAN(IF(ISERROR(FIND(AB$2,Mail!$A48)),"",MID(Mail!$A48,FIND(AB$2,Mail!$A48)+LEN(AB$2)+1,IF(ISERROR(FIND("■",Mail!$A48,FIND(AB$2,Mail!$A48)+LEN(AB$2))-FIND(AB$2,Mail!$A48)-LEN(AB$2)),LEN(Mail!$A48)-60-FIND(AB$2,Mail!$A48)-LEN(AB$2),FIND("■",Mail!$A48,FIND(AB$2,Mail!$A48)+LEN(AB$2))-FIND(AB$2,Mail!$A48)-LEN(AB$2)-1)))))</f>
        <v/>
      </c>
      <c r="AC50" s="8" t="str">
        <f>TRIM(CLEAN(IF(ISERROR(FIND(AC$2,Mail!$A48)),"",MID(Mail!$A48,FIND(AC$2,Mail!$A48)+LEN(AC$2)+1,IF(ISERROR(FIND("■",Mail!$A48,FIND(AC$2,Mail!$A48)+LEN(AC$2))-FIND(AC$2,Mail!$A48)-LEN(AC$2)),LEN(Mail!$A48)-60-FIND(AC$2,Mail!$A48)-LEN(AC$2),FIND("■",Mail!$A48,FIND(AC$2,Mail!$A48)+LEN(AC$2))-FIND(AC$2,Mail!$A48)-LEN(AC$2)-1)))))</f>
        <v/>
      </c>
      <c r="AD50" s="8" t="str">
        <f>TRIM(CLEAN(IF(ISERROR(FIND(AD$2,Mail!$A48)),"",MID(Mail!$A48,FIND(AD$2,Mail!$A48)+LEN(AD$2)+1,IF(ISERROR(FIND("■",Mail!$A48,FIND(AD$2,Mail!$A48)+LEN(AD$2))-FIND(AD$2,Mail!$A48)-LEN(AD$2)),LEN(Mail!$A48)-60-FIND(AD$2,Mail!$A48)-LEN(AD$2),FIND("■",Mail!$A48,FIND(AD$2,Mail!$A48)+LEN(AD$2))-FIND(AD$2,Mail!$A48)-LEN(AD$2)-1)))))</f>
        <v/>
      </c>
      <c r="AE50" s="8" t="str">
        <f>TRIM(CLEAN(IF(ISERROR(FIND(AE$2,Mail!$A48)),"",MID(Mail!$A48,FIND(AE$2,Mail!$A48)+LEN(AE$2)+1,IF(ISERROR(FIND("■",Mail!$A48,FIND(AE$2,Mail!$A48)+LEN(AE$2))-FIND(AE$2,Mail!$A48)-LEN(AE$2)),LEN(Mail!$A48)-60-FIND(AE$2,Mail!$A48)-LEN(AE$2),FIND("■",Mail!$A48,FIND(AE$2,Mail!$A48)+LEN(AE$2))-FIND(AE$2,Mail!$A48)-LEN(AE$2)-1)))))</f>
        <v/>
      </c>
      <c r="AF50" s="8" t="str">
        <f>TRIM(CLEAN(IF(ISERROR(FIND(AF$2,Mail!$A48)),"",MID(Mail!$A48,FIND(AF$2,Mail!$A48)+LEN(AF$2)+1,IF(ISERROR(FIND("■",Mail!$A48,FIND(AF$2,Mail!$A48)+LEN(AF$2))-FIND(AF$2,Mail!$A48)-LEN(AF$2)),LEN(Mail!$A48)-60-FIND(AF$2,Mail!$A48)-LEN(AF$2),FIND("■",Mail!$A48,FIND(AF$2,Mail!$A48)+LEN(AF$2))-FIND(AF$2,Mail!$A48)-LEN(AF$2)-1)))))</f>
        <v/>
      </c>
      <c r="AG50" s="8" t="str">
        <f>TRIM(IF(ISERROR(FIND(AG$2,Mail!$A48)),"",MID(Mail!$A48,FIND(AG$2,Mail!$A48)+LEN(AG$2)+1,IF(ISERROR(FIND("■",Mail!$A48,FIND(AG$2,Mail!$A48)+LEN(AG$2))-FIND(AG$2,Mail!$A48)-LEN(AG$2)),LEN(Mail!$A48)-60-FIND(AG$2,Mail!$A48)-LEN(AG$2),FIND("■",Mail!$A48,FIND(AG$2,Mail!$A48)+LEN(AG$2))-FIND(AG$2,Mail!$A48)-LEN(AG$2)-1))))</f>
        <v/>
      </c>
      <c r="AH50" s="8" t="str">
        <f>TRIM(IF(ISERROR(FIND(AH$2,Mail!$A48)),"",MID(Mail!$A48,FIND(AH$2,Mail!$A48)+LEN(AH$2)+1,IF(ISERROR(FIND("■",Mail!$A48,FIND(AH$2,Mail!$A48)+LEN(AH$2))-FIND(AH$2,Mail!$A48)-LEN(AH$2)),LEN(Mail!$A48)-60-FIND(AH$2,Mail!$A48)-LEN(AH$2),FIND("■",Mail!$A48,FIND(AH$2,Mail!$A48)+LEN(AH$2))-FIND(AH$2,Mail!$A48)-LEN(AH$2)-1))))</f>
        <v/>
      </c>
      <c r="AI50" s="8" t="str">
        <f>TRIM(IF(ISERROR(FIND(AI$2,Mail!$A48)),"",MID(Mail!$A48,FIND(AI$2,Mail!$A48)+LEN(AI$2)+1,IF(ISERROR(FIND("■",Mail!$A48,FIND(AI$2,Mail!$A48)+LEN(AI$2))-FIND(AI$2,Mail!$A48)-LEN(AI$2)),LEN(Mail!$A48)-60-FIND(AI$2,Mail!$A48)-LEN(AI$2),FIND("■",Mail!$A48,FIND(AI$2,Mail!$A48)+LEN(AI$2))-FIND(AI$2,Mail!$A48)-LEN(AI$2)-1))))</f>
        <v/>
      </c>
    </row>
    <row r="51" spans="1:35" s="8" customFormat="1" x14ac:dyDescent="0.15">
      <c r="A51" s="9" t="str">
        <f t="shared" si="1"/>
        <v/>
      </c>
      <c r="B51" s="8" t="str">
        <f>CLEAN(SUBSTITUTE(IF(ISERROR(FIND("yokohama",Mail!$A49)),"",MID(Mail!$A49,FIND("yokohama",Mail!$A49)+LEN("yokohama")+1,FIND("件目",Mail!$A49,FIND("yokohama",Mail!$A49))-(FIND("yokohama",Mail!$A49)+LEN("yokohama")+1)))," ",""))</f>
        <v/>
      </c>
      <c r="C51" s="9" t="str">
        <f t="shared" si="4"/>
        <v/>
      </c>
      <c r="D51" s="9" t="str">
        <f t="shared" si="2"/>
        <v/>
      </c>
      <c r="E51" s="8" t="str">
        <f t="shared" si="3"/>
        <v/>
      </c>
      <c r="F51" s="8" t="str">
        <f>TRIM(CLEAN(IF(ISERROR(FIND(F$2,Mail!$A49)),"",MID(Mail!$A49,FIND(F$2,Mail!$A49)+LEN(F$2)+1,IF(ISERROR(FIND("■",Mail!$A49,FIND(F$2,Mail!$A49)+LEN(F$2))-FIND(F$2,Mail!$A49)-LEN(F$2)),LEN(Mail!$A49)-60-FIND(F$2,Mail!$A49)-LEN(F$2),FIND("■",Mail!$A49,FIND(F$2,Mail!$A49)+LEN(F$2))-FIND(F$2,Mail!$A49)-LEN(F$2)-1)))))</f>
        <v/>
      </c>
      <c r="G51" s="8" t="str">
        <f>TRIM(CLEAN(IF(ISERROR(FIND(G$2,Mail!$A49)),"",MID(Mail!$A49,FIND(G$2,Mail!$A49)+LEN(G$2)+1,IF(ISERROR(FIND("■",Mail!$A49,FIND(G$2,Mail!$A49)+LEN(G$2))-FIND(G$2,Mail!$A49)-LEN(G$2)),LEN(Mail!$A49)-60-FIND(G$2,Mail!$A49)-LEN(G$2),FIND("■",Mail!$A49,FIND(G$2,Mail!$A49)+LEN(G$2))-FIND(G$2,Mail!$A49)-LEN(G$2)-1)))))</f>
        <v/>
      </c>
      <c r="H51" s="8" t="str">
        <f>TRIM(CLEAN(IF(ISERROR(FIND(H$2,Mail!$A49)),"",MID(Mail!$A49,FIND(H$2,Mail!$A49)+LEN(H$2)+1,IF(ISERROR(FIND("■",Mail!$A49,FIND(H$2,Mail!$A49)+LEN(H$2))-FIND(H$2,Mail!$A49)-LEN(H$2)),LEN(Mail!$A49)-60-FIND(H$2,Mail!$A49)-LEN(H$2),FIND("■",Mail!$A49,FIND(H$2,Mail!$A49)+LEN(H$2))-FIND(H$2,Mail!$A49)-LEN(H$2)-1)))))</f>
        <v/>
      </c>
      <c r="I51" s="8" t="str">
        <f>TRIM(CLEAN(IF(ISERROR(FIND(I$2,Mail!$A49)),"",MID(Mail!$A49,FIND(I$2,Mail!$A49)+LEN(I$2)+1,IF(ISERROR(FIND("■",Mail!$A49,FIND(I$2,Mail!$A49)+LEN(I$2))-FIND(I$2,Mail!$A49)-LEN(I$2)),LEN(Mail!$A49)-60-FIND(I$2,Mail!$A49)-LEN(I$2),FIND("■",Mail!$A49,FIND(I$2,Mail!$A49)+LEN(I$2))-FIND(I$2,Mail!$A49)-LEN(I$2)-1)))))</f>
        <v/>
      </c>
      <c r="J51" s="8" t="str">
        <f>TRIM(IF(ISERROR(FIND(J$2,Mail!$A49)),"",MID(Mail!$A49,FIND(J$2,Mail!$A49)+LEN(J$2)+1,IF(ISERROR(FIND("■",Mail!$A49,FIND(J$2,Mail!$A49)+LEN(J$2))-FIND(J$2,Mail!$A49)-LEN(J$2)),LEN(Mail!$A49)-60-FIND(J$2,Mail!$A49)-LEN(J$2),FIND("■",Mail!$A49,FIND(J$2,Mail!$A49)+LEN(J$2))-FIND(J$2,Mail!$A49)-LEN(J$2)-1))))</f>
        <v/>
      </c>
      <c r="K51" s="8" t="str">
        <f>TRIM(IF(ISERROR(FIND(K$2,Mail!$A49)),"",MID(Mail!$A49,FIND(K$2,Mail!$A49)+LEN(K$2)+1,IF(ISERROR(FIND("■",Mail!$A49,FIND(K$2,Mail!$A49)+LEN(K$2))-FIND(K$2,Mail!$A49)-LEN(K$2)),LEN(Mail!$A49)-60-FIND(K$2,Mail!$A49)-LEN(K$2),FIND("■",Mail!$A49,FIND(K$2,Mail!$A49)+LEN(K$2))-FIND(K$2,Mail!$A49)-LEN(K$2)-1))))</f>
        <v/>
      </c>
      <c r="L51" s="8" t="str">
        <f>TRIM(IF(ISERROR(FIND(L$2,Mail!$A49)),"",MID(Mail!$A49,FIND(L$2,Mail!$A49)+LEN(L$2)+1,IF(ISERROR(FIND("■",Mail!$A49,FIND(L$2,Mail!$A49)+LEN(L$2))-FIND(L$2,Mail!$A49)-LEN(L$2)),LEN(Mail!$A49)-60-FIND(L$2,Mail!$A49)-LEN(L$2),FIND("■",Mail!$A49,FIND(L$2,Mail!$A49)+LEN(L$2))-FIND(L$2,Mail!$A49)-LEN(L$2)-1))))</f>
        <v/>
      </c>
      <c r="M51" s="8" t="str">
        <f>TRIM(CLEAN(IF(ISERROR(FIND(M$2,Mail!$A49)),"",MID(Mail!$A49,FIND(M$2,Mail!$A49)+LEN(M$2)+1,IF(ISERROR(FIND("■",Mail!$A49,FIND(M$2,Mail!$A49)+LEN(M$2))-FIND(M$2,Mail!$A49)-LEN(M$2)),LEN(Mail!$A49)-60-FIND(M$2,Mail!$A49)-LEN(M$2),FIND("■",Mail!$A49,FIND(M$2,Mail!$A49)+LEN(M$2))-FIND(M$2,Mail!$A49)-LEN(M$2)-1)))))</f>
        <v/>
      </c>
      <c r="N51" s="8" t="str">
        <f>TRIM(CLEAN(IF(ISERROR(FIND(N$2,Mail!$A49)),"",MID(Mail!$A49,FIND(N$2,Mail!$A49)+LEN(N$2)+1,IF(ISERROR(FIND("■",Mail!$A49,FIND(N$2,Mail!$A49)+LEN(N$2))-FIND(N$2,Mail!$A49)-LEN(N$2)),LEN(Mail!$A49)-60-FIND(N$2,Mail!$A49)-LEN(N$2),FIND("■",Mail!$A49,FIND(N$2,Mail!$A49)+LEN(N$2))-FIND(N$2,Mail!$A49)-LEN(N$2)-1)))))</f>
        <v/>
      </c>
      <c r="O51" s="8" t="str">
        <f>TRIM(CLEAN(IF(ISERROR(FIND(O$2,Mail!$A49)),"",MID(Mail!$A49,FIND(O$2,Mail!$A49)+LEN(O$2)+1,IF(ISERROR(FIND("■",Mail!$A49,FIND(O$2,Mail!$A49)+LEN(O$2))-FIND(O$2,Mail!$A49)-LEN(O$2)),LEN(Mail!$A49)-60-FIND(O$2,Mail!$A49)-LEN(O$2),FIND("■",Mail!$A49,FIND(O$2,Mail!$A49)+LEN(O$2))-FIND(O$2,Mail!$A49)-LEN(O$2)-1)))))</f>
        <v/>
      </c>
      <c r="P51" s="8" t="str">
        <f>TRIM(CLEAN(IF(ISERROR(FIND(P$2,Mail!$A49)),"",MID(Mail!$A49,FIND(P$2,Mail!$A49)+LEN(P$2)+1,IF(ISERROR(FIND("■",Mail!$A49,FIND(P$2,Mail!$A49)+LEN(P$2))-FIND(P$2,Mail!$A49)-LEN(P$2)),LEN(Mail!$A49)-60-FIND(P$2,Mail!$A49)-LEN(P$2),FIND("■",Mail!$A49,FIND(P$2,Mail!$A49)+LEN(P$2))-FIND(P$2,Mail!$A49)-LEN(P$2)-1)))))</f>
        <v/>
      </c>
      <c r="Q51" s="8" t="str">
        <f>TRIM(CLEAN(IF(ISERROR(FIND(Q$2,Mail!$A49)),"",MID(Mail!$A49,FIND(Q$2,Mail!$A49)+LEN(Q$2)+1,IF(ISERROR(FIND("■",Mail!$A49,FIND(Q$2,Mail!$A49)+LEN(Q$2))-FIND(Q$2,Mail!$A49)-LEN(Q$2)),LEN(Mail!$A49)-60-FIND(Q$2,Mail!$A49)-LEN(Q$2),FIND("■",Mail!$A49,FIND(Q$2,Mail!$A49)+LEN(Q$2))-FIND(Q$2,Mail!$A49)-LEN(Q$2)-1)))))</f>
        <v/>
      </c>
      <c r="R51" s="8" t="str">
        <f>TRIM(CLEAN(IF(ISERROR(FIND(R$2,Mail!$A49)),"",MID(Mail!$A49,FIND(R$2,Mail!$A49)+LEN(R$2)+1,IF(ISERROR(FIND("■",Mail!$A49,FIND(R$2,Mail!$A49)+LEN(R$2))-FIND(R$2,Mail!$A49)-LEN(R$2)),LEN(Mail!$A49)-60-FIND(R$2,Mail!$A49)-LEN(R$2),FIND("■",Mail!$A49,FIND(R$2,Mail!$A49)+LEN(R$2))-FIND(R$2,Mail!$A49)-LEN(R$2)-1)))))</f>
        <v/>
      </c>
      <c r="S51" s="8" t="str">
        <f>TRIM(CLEAN(IF(ISERROR(FIND(S$2,Mail!$A49)),"",MID(Mail!$A49,FIND(S$2,Mail!$A49)+LEN(S$2)+1,IF(ISERROR(FIND("■",Mail!$A49,FIND(S$2,Mail!$A49)+LEN(S$2))-FIND(S$2,Mail!$A49)-LEN(S$2)),LEN(Mail!$A49)-60-FIND(S$2,Mail!$A49)-LEN(S$2),FIND("■",Mail!$A49,FIND(S$2,Mail!$A49)+LEN(S$2))-FIND(S$2,Mail!$A49)-LEN(S$2)-1)))))</f>
        <v/>
      </c>
      <c r="T51" s="8" t="str">
        <f>TRIM(CLEAN(IF(ISERROR(FIND(T$2,Mail!$A49)),"",MID(Mail!$A49,FIND(T$2,Mail!$A49)+LEN(T$2)+1,IF(ISERROR(FIND("■",Mail!$A49,FIND(T$2,Mail!$A49)+LEN(T$2))-FIND(T$2,Mail!$A49)-LEN(T$2)),LEN(Mail!$A49)-60-FIND(T$2,Mail!$A49)-LEN(T$2),FIND("■",Mail!$A49,FIND(T$2,Mail!$A49)+LEN(T$2))-FIND(T$2,Mail!$A49)-LEN(T$2)-1)))))</f>
        <v/>
      </c>
      <c r="U51" s="8" t="str">
        <f>TRIM(CLEAN(IF(ISERROR(FIND(U$2,Mail!$A49)),"",MID(Mail!$A49,FIND(U$2,Mail!$A49)+LEN(U$2)+1,IF(ISERROR(FIND("■",Mail!$A49,FIND(U$2,Mail!$A49)+LEN(U$2))-FIND(U$2,Mail!$A49)-LEN(U$2)),LEN(Mail!$A49)-60-FIND(U$2,Mail!$A49)-LEN(U$2),FIND("■",Mail!$A49,FIND(U$2,Mail!$A49)+LEN(U$2))-FIND(U$2,Mail!$A49)-LEN(U$2)-1)))))</f>
        <v/>
      </c>
      <c r="V51" s="8" t="str">
        <f>TRIM(CLEAN(IF(ISERROR(FIND(V$2,Mail!$A49)),"",MID(Mail!$A49,FIND(V$2,Mail!$A49)+LEN(V$2)+1,IF(ISERROR(FIND("■",Mail!$A49,FIND(V$2,Mail!$A49)+LEN(V$2))-FIND(V$2,Mail!$A49)-LEN(V$2)),LEN(Mail!$A49)-60-FIND(V$2,Mail!$A49)-LEN(V$2),FIND("■",Mail!$A49,FIND(V$2,Mail!$A49)+LEN(V$2))-FIND(V$2,Mail!$A49)-LEN(V$2)-1)))))</f>
        <v/>
      </c>
      <c r="W51" s="8" t="str">
        <f>TRIM(CLEAN(IF(ISERROR(FIND(W$2,Mail!$A49)),"",MID(Mail!$A49,FIND(W$2,Mail!$A49)+LEN(W$2)+1,IF(ISERROR(FIND("■",Mail!$A49,FIND(W$2,Mail!$A49)+LEN(W$2))-FIND(W$2,Mail!$A49)-LEN(W$2)),LEN(Mail!$A49)-60-FIND(W$2,Mail!$A49)-LEN(W$2),FIND("■",Mail!$A49,FIND(W$2,Mail!$A49)+LEN(W$2))-FIND(W$2,Mail!$A49)-LEN(W$2)-1)))))</f>
        <v/>
      </c>
      <c r="X51" s="8" t="str">
        <f>TRIM(IF(ISERROR(FIND(X$2,Mail!$A49)),"",MID(Mail!$A49,FIND(X$2,Mail!$A49)+LEN(X$2)+1,IF(ISERROR(FIND("■",Mail!$A49,FIND(X$2,Mail!$A49)+LEN(X$2))-FIND(X$2,Mail!$A49)-LEN(X$2)),LEN(Mail!$A49)-60-FIND(X$2,Mail!$A49)-LEN(X$2),FIND("■",Mail!$A49,FIND(X$2,Mail!$A49)+LEN(X$2))-FIND(X$2,Mail!$A49)-LEN(X$2)-1))))</f>
        <v/>
      </c>
      <c r="Y51" s="8" t="str">
        <f>TRIM(CLEAN(IF(ISERROR(FIND(Y$2,Mail!$A49)),"",MID(Mail!$A49,FIND(Y$2,Mail!$A49)+LEN(Y$2)+1,IF(ISERROR(FIND("■",Mail!$A49,FIND(Y$2,Mail!$A49)+LEN(Y$2))-FIND(Y$2,Mail!$A49)-LEN(Y$2)),LEN(Mail!$A49)-60-FIND(Y$2,Mail!$A49)-LEN(Y$2),FIND("■",Mail!$A49,FIND(Y$2,Mail!$A49)+LEN(Y$2))-FIND(Y$2,Mail!$A49)-LEN(Y$2)-1)))))</f>
        <v/>
      </c>
      <c r="Z51" s="8" t="str">
        <f>TRIM(CLEAN(IF(ISERROR(FIND(Z$2,Mail!$A49)),"",MID(Mail!$A49,FIND(Z$2,Mail!$A49)+LEN(Z$2)+1,IF(ISERROR(FIND("■",Mail!$A49,FIND(Z$2,Mail!$A49)+LEN(Z$2))-FIND(Z$2,Mail!$A49)-LEN(Z$2)),LEN(Mail!$A49)-60-FIND(Z$2,Mail!$A49)-LEN(Z$2),FIND("■",Mail!$A49,FIND(Z$2,Mail!$A49)+LEN(Z$2))-FIND(Z$2,Mail!$A49)-LEN(Z$2)-1)))))</f>
        <v/>
      </c>
      <c r="AA51" s="8" t="str">
        <f>TRIM(CLEAN(IF(ISERROR(FIND(AA$2,Mail!$A49)),"",MID(Mail!$A49,FIND(AA$2,Mail!$A49)+LEN(AA$2)+1,IF(ISERROR(FIND("■",Mail!$A49,FIND(AA$2,Mail!$A49)+LEN(AA$2))-FIND(AA$2,Mail!$A49)-LEN(AA$2)),LEN(Mail!$A49)-60-FIND(AA$2,Mail!$A49)-LEN(AA$2),FIND("■",Mail!$A49,FIND(AA$2,Mail!$A49)+LEN(AA$2))-FIND(AA$2,Mail!$A49)-LEN(AA$2)-1)))))</f>
        <v/>
      </c>
      <c r="AB51" s="8" t="str">
        <f>TRIM(CLEAN(IF(ISERROR(FIND(AB$2,Mail!$A49)),"",MID(Mail!$A49,FIND(AB$2,Mail!$A49)+LEN(AB$2)+1,IF(ISERROR(FIND("■",Mail!$A49,FIND(AB$2,Mail!$A49)+LEN(AB$2))-FIND(AB$2,Mail!$A49)-LEN(AB$2)),LEN(Mail!$A49)-60-FIND(AB$2,Mail!$A49)-LEN(AB$2),FIND("■",Mail!$A49,FIND(AB$2,Mail!$A49)+LEN(AB$2))-FIND(AB$2,Mail!$A49)-LEN(AB$2)-1)))))</f>
        <v/>
      </c>
      <c r="AC51" s="8" t="str">
        <f>TRIM(CLEAN(IF(ISERROR(FIND(AC$2,Mail!$A49)),"",MID(Mail!$A49,FIND(AC$2,Mail!$A49)+LEN(AC$2)+1,IF(ISERROR(FIND("■",Mail!$A49,FIND(AC$2,Mail!$A49)+LEN(AC$2))-FIND(AC$2,Mail!$A49)-LEN(AC$2)),LEN(Mail!$A49)-60-FIND(AC$2,Mail!$A49)-LEN(AC$2),FIND("■",Mail!$A49,FIND(AC$2,Mail!$A49)+LEN(AC$2))-FIND(AC$2,Mail!$A49)-LEN(AC$2)-1)))))</f>
        <v/>
      </c>
      <c r="AD51" s="8" t="str">
        <f>TRIM(CLEAN(IF(ISERROR(FIND(AD$2,Mail!$A49)),"",MID(Mail!$A49,FIND(AD$2,Mail!$A49)+LEN(AD$2)+1,IF(ISERROR(FIND("■",Mail!$A49,FIND(AD$2,Mail!$A49)+LEN(AD$2))-FIND(AD$2,Mail!$A49)-LEN(AD$2)),LEN(Mail!$A49)-60-FIND(AD$2,Mail!$A49)-LEN(AD$2),FIND("■",Mail!$A49,FIND(AD$2,Mail!$A49)+LEN(AD$2))-FIND(AD$2,Mail!$A49)-LEN(AD$2)-1)))))</f>
        <v/>
      </c>
      <c r="AE51" s="8" t="str">
        <f>TRIM(CLEAN(IF(ISERROR(FIND(AE$2,Mail!$A49)),"",MID(Mail!$A49,FIND(AE$2,Mail!$A49)+LEN(AE$2)+1,IF(ISERROR(FIND("■",Mail!$A49,FIND(AE$2,Mail!$A49)+LEN(AE$2))-FIND(AE$2,Mail!$A49)-LEN(AE$2)),LEN(Mail!$A49)-60-FIND(AE$2,Mail!$A49)-LEN(AE$2),FIND("■",Mail!$A49,FIND(AE$2,Mail!$A49)+LEN(AE$2))-FIND(AE$2,Mail!$A49)-LEN(AE$2)-1)))))</f>
        <v/>
      </c>
      <c r="AF51" s="8" t="str">
        <f>TRIM(CLEAN(IF(ISERROR(FIND(AF$2,Mail!$A49)),"",MID(Mail!$A49,FIND(AF$2,Mail!$A49)+LEN(AF$2)+1,IF(ISERROR(FIND("■",Mail!$A49,FIND(AF$2,Mail!$A49)+LEN(AF$2))-FIND(AF$2,Mail!$A49)-LEN(AF$2)),LEN(Mail!$A49)-60-FIND(AF$2,Mail!$A49)-LEN(AF$2),FIND("■",Mail!$A49,FIND(AF$2,Mail!$A49)+LEN(AF$2))-FIND(AF$2,Mail!$A49)-LEN(AF$2)-1)))))</f>
        <v/>
      </c>
      <c r="AG51" s="8" t="str">
        <f>TRIM(IF(ISERROR(FIND(AG$2,Mail!$A49)),"",MID(Mail!$A49,FIND(AG$2,Mail!$A49)+LEN(AG$2)+1,IF(ISERROR(FIND("■",Mail!$A49,FIND(AG$2,Mail!$A49)+LEN(AG$2))-FIND(AG$2,Mail!$A49)-LEN(AG$2)),LEN(Mail!$A49)-60-FIND(AG$2,Mail!$A49)-LEN(AG$2),FIND("■",Mail!$A49,FIND(AG$2,Mail!$A49)+LEN(AG$2))-FIND(AG$2,Mail!$A49)-LEN(AG$2)-1))))</f>
        <v/>
      </c>
      <c r="AH51" s="8" t="str">
        <f>TRIM(IF(ISERROR(FIND(AH$2,Mail!$A49)),"",MID(Mail!$A49,FIND(AH$2,Mail!$A49)+LEN(AH$2)+1,IF(ISERROR(FIND("■",Mail!$A49,FIND(AH$2,Mail!$A49)+LEN(AH$2))-FIND(AH$2,Mail!$A49)-LEN(AH$2)),LEN(Mail!$A49)-60-FIND(AH$2,Mail!$A49)-LEN(AH$2),FIND("■",Mail!$A49,FIND(AH$2,Mail!$A49)+LEN(AH$2))-FIND(AH$2,Mail!$A49)-LEN(AH$2)-1))))</f>
        <v/>
      </c>
      <c r="AI51" s="8" t="str">
        <f>TRIM(IF(ISERROR(FIND(AI$2,Mail!$A49)),"",MID(Mail!$A49,FIND(AI$2,Mail!$A49)+LEN(AI$2)+1,IF(ISERROR(FIND("■",Mail!$A49,FIND(AI$2,Mail!$A49)+LEN(AI$2))-FIND(AI$2,Mail!$A49)-LEN(AI$2)),LEN(Mail!$A49)-60-FIND(AI$2,Mail!$A49)-LEN(AI$2),FIND("■",Mail!$A49,FIND(AI$2,Mail!$A49)+LEN(AI$2))-FIND(AI$2,Mail!$A49)-LEN(AI$2)-1))))</f>
        <v/>
      </c>
    </row>
    <row r="52" spans="1:35" s="8" customFormat="1" x14ac:dyDescent="0.15">
      <c r="A52" s="9" t="str">
        <f t="shared" si="1"/>
        <v/>
      </c>
      <c r="B52" s="8" t="str">
        <f>CLEAN(SUBSTITUTE(IF(ISERROR(FIND("yokohama",Mail!$A50)),"",MID(Mail!$A50,FIND("yokohama",Mail!$A50)+LEN("yokohama")+1,FIND("件目",Mail!$A50,FIND("yokohama",Mail!$A50))-(FIND("yokohama",Mail!$A50)+LEN("yokohama")+1)))," ",""))</f>
        <v/>
      </c>
      <c r="C52" s="9" t="str">
        <f t="shared" si="4"/>
        <v/>
      </c>
      <c r="D52" s="9" t="str">
        <f t="shared" si="2"/>
        <v/>
      </c>
      <c r="E52" s="8" t="str">
        <f t="shared" si="3"/>
        <v/>
      </c>
      <c r="F52" s="8" t="str">
        <f>TRIM(CLEAN(IF(ISERROR(FIND(F$2,Mail!$A50)),"",MID(Mail!$A50,FIND(F$2,Mail!$A50)+LEN(F$2)+1,IF(ISERROR(FIND("■",Mail!$A50,FIND(F$2,Mail!$A50)+LEN(F$2))-FIND(F$2,Mail!$A50)-LEN(F$2)),LEN(Mail!$A50)-60-FIND(F$2,Mail!$A50)-LEN(F$2),FIND("■",Mail!$A50,FIND(F$2,Mail!$A50)+LEN(F$2))-FIND(F$2,Mail!$A50)-LEN(F$2)-1)))))</f>
        <v/>
      </c>
      <c r="G52" s="8" t="str">
        <f>TRIM(CLEAN(IF(ISERROR(FIND(G$2,Mail!$A50)),"",MID(Mail!$A50,FIND(G$2,Mail!$A50)+LEN(G$2)+1,IF(ISERROR(FIND("■",Mail!$A50,FIND(G$2,Mail!$A50)+LEN(G$2))-FIND(G$2,Mail!$A50)-LEN(G$2)),LEN(Mail!$A50)-60-FIND(G$2,Mail!$A50)-LEN(G$2),FIND("■",Mail!$A50,FIND(G$2,Mail!$A50)+LEN(G$2))-FIND(G$2,Mail!$A50)-LEN(G$2)-1)))))</f>
        <v/>
      </c>
      <c r="H52" s="8" t="str">
        <f>TRIM(CLEAN(IF(ISERROR(FIND(H$2,Mail!$A50)),"",MID(Mail!$A50,FIND(H$2,Mail!$A50)+LEN(H$2)+1,IF(ISERROR(FIND("■",Mail!$A50,FIND(H$2,Mail!$A50)+LEN(H$2))-FIND(H$2,Mail!$A50)-LEN(H$2)),LEN(Mail!$A50)-60-FIND(H$2,Mail!$A50)-LEN(H$2),FIND("■",Mail!$A50,FIND(H$2,Mail!$A50)+LEN(H$2))-FIND(H$2,Mail!$A50)-LEN(H$2)-1)))))</f>
        <v/>
      </c>
      <c r="I52" s="8" t="str">
        <f>TRIM(CLEAN(IF(ISERROR(FIND(I$2,Mail!$A50)),"",MID(Mail!$A50,FIND(I$2,Mail!$A50)+LEN(I$2)+1,IF(ISERROR(FIND("■",Mail!$A50,FIND(I$2,Mail!$A50)+LEN(I$2))-FIND(I$2,Mail!$A50)-LEN(I$2)),LEN(Mail!$A50)-60-FIND(I$2,Mail!$A50)-LEN(I$2),FIND("■",Mail!$A50,FIND(I$2,Mail!$A50)+LEN(I$2))-FIND(I$2,Mail!$A50)-LEN(I$2)-1)))))</f>
        <v/>
      </c>
      <c r="J52" s="8" t="str">
        <f>TRIM(IF(ISERROR(FIND(J$2,Mail!$A50)),"",MID(Mail!$A50,FIND(J$2,Mail!$A50)+LEN(J$2)+1,IF(ISERROR(FIND("■",Mail!$A50,FIND(J$2,Mail!$A50)+LEN(J$2))-FIND(J$2,Mail!$A50)-LEN(J$2)),LEN(Mail!$A50)-60-FIND(J$2,Mail!$A50)-LEN(J$2),FIND("■",Mail!$A50,FIND(J$2,Mail!$A50)+LEN(J$2))-FIND(J$2,Mail!$A50)-LEN(J$2)-1))))</f>
        <v/>
      </c>
      <c r="K52" s="8" t="str">
        <f>TRIM(IF(ISERROR(FIND(K$2,Mail!$A50)),"",MID(Mail!$A50,FIND(K$2,Mail!$A50)+LEN(K$2)+1,IF(ISERROR(FIND("■",Mail!$A50,FIND(K$2,Mail!$A50)+LEN(K$2))-FIND(K$2,Mail!$A50)-LEN(K$2)),LEN(Mail!$A50)-60-FIND(K$2,Mail!$A50)-LEN(K$2),FIND("■",Mail!$A50,FIND(K$2,Mail!$A50)+LEN(K$2))-FIND(K$2,Mail!$A50)-LEN(K$2)-1))))</f>
        <v/>
      </c>
      <c r="L52" s="8" t="str">
        <f>TRIM(IF(ISERROR(FIND(L$2,Mail!$A50)),"",MID(Mail!$A50,FIND(L$2,Mail!$A50)+LEN(L$2)+1,IF(ISERROR(FIND("■",Mail!$A50,FIND(L$2,Mail!$A50)+LEN(L$2))-FIND(L$2,Mail!$A50)-LEN(L$2)),LEN(Mail!$A50)-60-FIND(L$2,Mail!$A50)-LEN(L$2),FIND("■",Mail!$A50,FIND(L$2,Mail!$A50)+LEN(L$2))-FIND(L$2,Mail!$A50)-LEN(L$2)-1))))</f>
        <v/>
      </c>
      <c r="M52" s="8" t="str">
        <f>TRIM(CLEAN(IF(ISERROR(FIND(M$2,Mail!$A50)),"",MID(Mail!$A50,FIND(M$2,Mail!$A50)+LEN(M$2)+1,IF(ISERROR(FIND("■",Mail!$A50,FIND(M$2,Mail!$A50)+LEN(M$2))-FIND(M$2,Mail!$A50)-LEN(M$2)),LEN(Mail!$A50)-60-FIND(M$2,Mail!$A50)-LEN(M$2),FIND("■",Mail!$A50,FIND(M$2,Mail!$A50)+LEN(M$2))-FIND(M$2,Mail!$A50)-LEN(M$2)-1)))))</f>
        <v/>
      </c>
      <c r="N52" s="8" t="str">
        <f>TRIM(CLEAN(IF(ISERROR(FIND(N$2,Mail!$A50)),"",MID(Mail!$A50,FIND(N$2,Mail!$A50)+LEN(N$2)+1,IF(ISERROR(FIND("■",Mail!$A50,FIND(N$2,Mail!$A50)+LEN(N$2))-FIND(N$2,Mail!$A50)-LEN(N$2)),LEN(Mail!$A50)-60-FIND(N$2,Mail!$A50)-LEN(N$2),FIND("■",Mail!$A50,FIND(N$2,Mail!$A50)+LEN(N$2))-FIND(N$2,Mail!$A50)-LEN(N$2)-1)))))</f>
        <v/>
      </c>
      <c r="O52" s="8" t="str">
        <f>TRIM(CLEAN(IF(ISERROR(FIND(O$2,Mail!$A50)),"",MID(Mail!$A50,FIND(O$2,Mail!$A50)+LEN(O$2)+1,IF(ISERROR(FIND("■",Mail!$A50,FIND(O$2,Mail!$A50)+LEN(O$2))-FIND(O$2,Mail!$A50)-LEN(O$2)),LEN(Mail!$A50)-60-FIND(O$2,Mail!$A50)-LEN(O$2),FIND("■",Mail!$A50,FIND(O$2,Mail!$A50)+LEN(O$2))-FIND(O$2,Mail!$A50)-LEN(O$2)-1)))))</f>
        <v/>
      </c>
      <c r="P52" s="8" t="str">
        <f>TRIM(CLEAN(IF(ISERROR(FIND(P$2,Mail!$A50)),"",MID(Mail!$A50,FIND(P$2,Mail!$A50)+LEN(P$2)+1,IF(ISERROR(FIND("■",Mail!$A50,FIND(P$2,Mail!$A50)+LEN(P$2))-FIND(P$2,Mail!$A50)-LEN(P$2)),LEN(Mail!$A50)-60-FIND(P$2,Mail!$A50)-LEN(P$2),FIND("■",Mail!$A50,FIND(P$2,Mail!$A50)+LEN(P$2))-FIND(P$2,Mail!$A50)-LEN(P$2)-1)))))</f>
        <v/>
      </c>
      <c r="Q52" s="8" t="str">
        <f>TRIM(CLEAN(IF(ISERROR(FIND(Q$2,Mail!$A50)),"",MID(Mail!$A50,FIND(Q$2,Mail!$A50)+LEN(Q$2)+1,IF(ISERROR(FIND("■",Mail!$A50,FIND(Q$2,Mail!$A50)+LEN(Q$2))-FIND(Q$2,Mail!$A50)-LEN(Q$2)),LEN(Mail!$A50)-60-FIND(Q$2,Mail!$A50)-LEN(Q$2),FIND("■",Mail!$A50,FIND(Q$2,Mail!$A50)+LEN(Q$2))-FIND(Q$2,Mail!$A50)-LEN(Q$2)-1)))))</f>
        <v/>
      </c>
      <c r="R52" s="8" t="str">
        <f>TRIM(CLEAN(IF(ISERROR(FIND(R$2,Mail!$A50)),"",MID(Mail!$A50,FIND(R$2,Mail!$A50)+LEN(R$2)+1,IF(ISERROR(FIND("■",Mail!$A50,FIND(R$2,Mail!$A50)+LEN(R$2))-FIND(R$2,Mail!$A50)-LEN(R$2)),LEN(Mail!$A50)-60-FIND(R$2,Mail!$A50)-LEN(R$2),FIND("■",Mail!$A50,FIND(R$2,Mail!$A50)+LEN(R$2))-FIND(R$2,Mail!$A50)-LEN(R$2)-1)))))</f>
        <v/>
      </c>
      <c r="S52" s="8" t="str">
        <f>TRIM(CLEAN(IF(ISERROR(FIND(S$2,Mail!$A50)),"",MID(Mail!$A50,FIND(S$2,Mail!$A50)+LEN(S$2)+1,IF(ISERROR(FIND("■",Mail!$A50,FIND(S$2,Mail!$A50)+LEN(S$2))-FIND(S$2,Mail!$A50)-LEN(S$2)),LEN(Mail!$A50)-60-FIND(S$2,Mail!$A50)-LEN(S$2),FIND("■",Mail!$A50,FIND(S$2,Mail!$A50)+LEN(S$2))-FIND(S$2,Mail!$A50)-LEN(S$2)-1)))))</f>
        <v/>
      </c>
      <c r="T52" s="8" t="str">
        <f>TRIM(CLEAN(IF(ISERROR(FIND(T$2,Mail!$A50)),"",MID(Mail!$A50,FIND(T$2,Mail!$A50)+LEN(T$2)+1,IF(ISERROR(FIND("■",Mail!$A50,FIND(T$2,Mail!$A50)+LEN(T$2))-FIND(T$2,Mail!$A50)-LEN(T$2)),LEN(Mail!$A50)-60-FIND(T$2,Mail!$A50)-LEN(T$2),FIND("■",Mail!$A50,FIND(T$2,Mail!$A50)+LEN(T$2))-FIND(T$2,Mail!$A50)-LEN(T$2)-1)))))</f>
        <v/>
      </c>
      <c r="U52" s="8" t="str">
        <f>TRIM(CLEAN(IF(ISERROR(FIND(U$2,Mail!$A50)),"",MID(Mail!$A50,FIND(U$2,Mail!$A50)+LEN(U$2)+1,IF(ISERROR(FIND("■",Mail!$A50,FIND(U$2,Mail!$A50)+LEN(U$2))-FIND(U$2,Mail!$A50)-LEN(U$2)),LEN(Mail!$A50)-60-FIND(U$2,Mail!$A50)-LEN(U$2),FIND("■",Mail!$A50,FIND(U$2,Mail!$A50)+LEN(U$2))-FIND(U$2,Mail!$A50)-LEN(U$2)-1)))))</f>
        <v/>
      </c>
      <c r="V52" s="8" t="str">
        <f>TRIM(CLEAN(IF(ISERROR(FIND(V$2,Mail!$A50)),"",MID(Mail!$A50,FIND(V$2,Mail!$A50)+LEN(V$2)+1,IF(ISERROR(FIND("■",Mail!$A50,FIND(V$2,Mail!$A50)+LEN(V$2))-FIND(V$2,Mail!$A50)-LEN(V$2)),LEN(Mail!$A50)-60-FIND(V$2,Mail!$A50)-LEN(V$2),FIND("■",Mail!$A50,FIND(V$2,Mail!$A50)+LEN(V$2))-FIND(V$2,Mail!$A50)-LEN(V$2)-1)))))</f>
        <v/>
      </c>
      <c r="W52" s="8" t="str">
        <f>TRIM(CLEAN(IF(ISERROR(FIND(W$2,Mail!$A50)),"",MID(Mail!$A50,FIND(W$2,Mail!$A50)+LEN(W$2)+1,IF(ISERROR(FIND("■",Mail!$A50,FIND(W$2,Mail!$A50)+LEN(W$2))-FIND(W$2,Mail!$A50)-LEN(W$2)),LEN(Mail!$A50)-60-FIND(W$2,Mail!$A50)-LEN(W$2),FIND("■",Mail!$A50,FIND(W$2,Mail!$A50)+LEN(W$2))-FIND(W$2,Mail!$A50)-LEN(W$2)-1)))))</f>
        <v/>
      </c>
      <c r="X52" s="8" t="str">
        <f>TRIM(IF(ISERROR(FIND(X$2,Mail!$A50)),"",MID(Mail!$A50,FIND(X$2,Mail!$A50)+LEN(X$2)+1,IF(ISERROR(FIND("■",Mail!$A50,FIND(X$2,Mail!$A50)+LEN(X$2))-FIND(X$2,Mail!$A50)-LEN(X$2)),LEN(Mail!$A50)-60-FIND(X$2,Mail!$A50)-LEN(X$2),FIND("■",Mail!$A50,FIND(X$2,Mail!$A50)+LEN(X$2))-FIND(X$2,Mail!$A50)-LEN(X$2)-1))))</f>
        <v/>
      </c>
      <c r="Y52" s="8" t="str">
        <f>TRIM(CLEAN(IF(ISERROR(FIND(Y$2,Mail!$A50)),"",MID(Mail!$A50,FIND(Y$2,Mail!$A50)+LEN(Y$2)+1,IF(ISERROR(FIND("■",Mail!$A50,FIND(Y$2,Mail!$A50)+LEN(Y$2))-FIND(Y$2,Mail!$A50)-LEN(Y$2)),LEN(Mail!$A50)-60-FIND(Y$2,Mail!$A50)-LEN(Y$2),FIND("■",Mail!$A50,FIND(Y$2,Mail!$A50)+LEN(Y$2))-FIND(Y$2,Mail!$A50)-LEN(Y$2)-1)))))</f>
        <v/>
      </c>
      <c r="Z52" s="8" t="str">
        <f>TRIM(CLEAN(IF(ISERROR(FIND(Z$2,Mail!$A50)),"",MID(Mail!$A50,FIND(Z$2,Mail!$A50)+LEN(Z$2)+1,IF(ISERROR(FIND("■",Mail!$A50,FIND(Z$2,Mail!$A50)+LEN(Z$2))-FIND(Z$2,Mail!$A50)-LEN(Z$2)),LEN(Mail!$A50)-60-FIND(Z$2,Mail!$A50)-LEN(Z$2),FIND("■",Mail!$A50,FIND(Z$2,Mail!$A50)+LEN(Z$2))-FIND(Z$2,Mail!$A50)-LEN(Z$2)-1)))))</f>
        <v/>
      </c>
      <c r="AA52" s="8" t="str">
        <f>TRIM(CLEAN(IF(ISERROR(FIND(AA$2,Mail!$A50)),"",MID(Mail!$A50,FIND(AA$2,Mail!$A50)+LEN(AA$2)+1,IF(ISERROR(FIND("■",Mail!$A50,FIND(AA$2,Mail!$A50)+LEN(AA$2))-FIND(AA$2,Mail!$A50)-LEN(AA$2)),LEN(Mail!$A50)-60-FIND(AA$2,Mail!$A50)-LEN(AA$2),FIND("■",Mail!$A50,FIND(AA$2,Mail!$A50)+LEN(AA$2))-FIND(AA$2,Mail!$A50)-LEN(AA$2)-1)))))</f>
        <v/>
      </c>
      <c r="AB52" s="8" t="str">
        <f>TRIM(CLEAN(IF(ISERROR(FIND(AB$2,Mail!$A50)),"",MID(Mail!$A50,FIND(AB$2,Mail!$A50)+LEN(AB$2)+1,IF(ISERROR(FIND("■",Mail!$A50,FIND(AB$2,Mail!$A50)+LEN(AB$2))-FIND(AB$2,Mail!$A50)-LEN(AB$2)),LEN(Mail!$A50)-60-FIND(AB$2,Mail!$A50)-LEN(AB$2),FIND("■",Mail!$A50,FIND(AB$2,Mail!$A50)+LEN(AB$2))-FIND(AB$2,Mail!$A50)-LEN(AB$2)-1)))))</f>
        <v/>
      </c>
      <c r="AC52" s="8" t="str">
        <f>TRIM(CLEAN(IF(ISERROR(FIND(AC$2,Mail!$A50)),"",MID(Mail!$A50,FIND(AC$2,Mail!$A50)+LEN(AC$2)+1,IF(ISERROR(FIND("■",Mail!$A50,FIND(AC$2,Mail!$A50)+LEN(AC$2))-FIND(AC$2,Mail!$A50)-LEN(AC$2)),LEN(Mail!$A50)-60-FIND(AC$2,Mail!$A50)-LEN(AC$2),FIND("■",Mail!$A50,FIND(AC$2,Mail!$A50)+LEN(AC$2))-FIND(AC$2,Mail!$A50)-LEN(AC$2)-1)))))</f>
        <v/>
      </c>
      <c r="AD52" s="8" t="str">
        <f>TRIM(CLEAN(IF(ISERROR(FIND(AD$2,Mail!$A50)),"",MID(Mail!$A50,FIND(AD$2,Mail!$A50)+LEN(AD$2)+1,IF(ISERROR(FIND("■",Mail!$A50,FIND(AD$2,Mail!$A50)+LEN(AD$2))-FIND(AD$2,Mail!$A50)-LEN(AD$2)),LEN(Mail!$A50)-60-FIND(AD$2,Mail!$A50)-LEN(AD$2),FIND("■",Mail!$A50,FIND(AD$2,Mail!$A50)+LEN(AD$2))-FIND(AD$2,Mail!$A50)-LEN(AD$2)-1)))))</f>
        <v/>
      </c>
      <c r="AE52" s="8" t="str">
        <f>TRIM(CLEAN(IF(ISERROR(FIND(AE$2,Mail!$A50)),"",MID(Mail!$A50,FIND(AE$2,Mail!$A50)+LEN(AE$2)+1,IF(ISERROR(FIND("■",Mail!$A50,FIND(AE$2,Mail!$A50)+LEN(AE$2))-FIND(AE$2,Mail!$A50)-LEN(AE$2)),LEN(Mail!$A50)-60-FIND(AE$2,Mail!$A50)-LEN(AE$2),FIND("■",Mail!$A50,FIND(AE$2,Mail!$A50)+LEN(AE$2))-FIND(AE$2,Mail!$A50)-LEN(AE$2)-1)))))</f>
        <v/>
      </c>
      <c r="AF52" s="8" t="str">
        <f>TRIM(CLEAN(IF(ISERROR(FIND(AF$2,Mail!$A50)),"",MID(Mail!$A50,FIND(AF$2,Mail!$A50)+LEN(AF$2)+1,IF(ISERROR(FIND("■",Mail!$A50,FIND(AF$2,Mail!$A50)+LEN(AF$2))-FIND(AF$2,Mail!$A50)-LEN(AF$2)),LEN(Mail!$A50)-60-FIND(AF$2,Mail!$A50)-LEN(AF$2),FIND("■",Mail!$A50,FIND(AF$2,Mail!$A50)+LEN(AF$2))-FIND(AF$2,Mail!$A50)-LEN(AF$2)-1)))))</f>
        <v/>
      </c>
      <c r="AG52" s="8" t="str">
        <f>TRIM(IF(ISERROR(FIND(AG$2,Mail!$A50)),"",MID(Mail!$A50,FIND(AG$2,Mail!$A50)+LEN(AG$2)+1,IF(ISERROR(FIND("■",Mail!$A50,FIND(AG$2,Mail!$A50)+LEN(AG$2))-FIND(AG$2,Mail!$A50)-LEN(AG$2)),LEN(Mail!$A50)-60-FIND(AG$2,Mail!$A50)-LEN(AG$2),FIND("■",Mail!$A50,FIND(AG$2,Mail!$A50)+LEN(AG$2))-FIND(AG$2,Mail!$A50)-LEN(AG$2)-1))))</f>
        <v/>
      </c>
      <c r="AH52" s="8" t="str">
        <f>TRIM(IF(ISERROR(FIND(AH$2,Mail!$A50)),"",MID(Mail!$A50,FIND(AH$2,Mail!$A50)+LEN(AH$2)+1,IF(ISERROR(FIND("■",Mail!$A50,FIND(AH$2,Mail!$A50)+LEN(AH$2))-FIND(AH$2,Mail!$A50)-LEN(AH$2)),LEN(Mail!$A50)-60-FIND(AH$2,Mail!$A50)-LEN(AH$2),FIND("■",Mail!$A50,FIND(AH$2,Mail!$A50)+LEN(AH$2))-FIND(AH$2,Mail!$A50)-LEN(AH$2)-1))))</f>
        <v/>
      </c>
      <c r="AI52" s="8" t="str">
        <f>TRIM(IF(ISERROR(FIND(AI$2,Mail!$A50)),"",MID(Mail!$A50,FIND(AI$2,Mail!$A50)+LEN(AI$2)+1,IF(ISERROR(FIND("■",Mail!$A50,FIND(AI$2,Mail!$A50)+LEN(AI$2))-FIND(AI$2,Mail!$A50)-LEN(AI$2)),LEN(Mail!$A50)-60-FIND(AI$2,Mail!$A50)-LEN(AI$2),FIND("■",Mail!$A50,FIND(AI$2,Mail!$A50)+LEN(AI$2))-FIND(AI$2,Mail!$A50)-LEN(AI$2)-1))))</f>
        <v/>
      </c>
    </row>
    <row r="53" spans="1:35" s="8" customFormat="1" x14ac:dyDescent="0.15">
      <c r="A53" s="9" t="str">
        <f t="shared" si="1"/>
        <v/>
      </c>
      <c r="B53" s="8" t="str">
        <f>CLEAN(SUBSTITUTE(IF(ISERROR(FIND("yokohama",Mail!$A51)),"",MID(Mail!$A51,FIND("yokohama",Mail!$A51)+LEN("yokohama")+1,FIND("件目",Mail!$A51,FIND("yokohama",Mail!$A51))-(FIND("yokohama",Mail!$A51)+LEN("yokohama")+1)))," ",""))</f>
        <v/>
      </c>
      <c r="C53" s="9" t="str">
        <f t="shared" si="4"/>
        <v/>
      </c>
      <c r="D53" s="9" t="str">
        <f t="shared" si="2"/>
        <v/>
      </c>
      <c r="E53" s="8" t="str">
        <f t="shared" si="3"/>
        <v/>
      </c>
      <c r="F53" s="8" t="str">
        <f>TRIM(CLEAN(IF(ISERROR(FIND(F$2,Mail!$A51)),"",MID(Mail!$A51,FIND(F$2,Mail!$A51)+LEN(F$2)+1,IF(ISERROR(FIND("■",Mail!$A51,FIND(F$2,Mail!$A51)+LEN(F$2))-FIND(F$2,Mail!$A51)-LEN(F$2)),LEN(Mail!$A51)-60-FIND(F$2,Mail!$A51)-LEN(F$2),FIND("■",Mail!$A51,FIND(F$2,Mail!$A51)+LEN(F$2))-FIND(F$2,Mail!$A51)-LEN(F$2)-1)))))</f>
        <v/>
      </c>
      <c r="G53" s="8" t="str">
        <f>TRIM(CLEAN(IF(ISERROR(FIND(G$2,Mail!$A51)),"",MID(Mail!$A51,FIND(G$2,Mail!$A51)+LEN(G$2)+1,IF(ISERROR(FIND("■",Mail!$A51,FIND(G$2,Mail!$A51)+LEN(G$2))-FIND(G$2,Mail!$A51)-LEN(G$2)),LEN(Mail!$A51)-60-FIND(G$2,Mail!$A51)-LEN(G$2),FIND("■",Mail!$A51,FIND(G$2,Mail!$A51)+LEN(G$2))-FIND(G$2,Mail!$A51)-LEN(G$2)-1)))))</f>
        <v/>
      </c>
      <c r="H53" s="8" t="str">
        <f>TRIM(CLEAN(IF(ISERROR(FIND(H$2,Mail!$A51)),"",MID(Mail!$A51,FIND(H$2,Mail!$A51)+LEN(H$2)+1,IF(ISERROR(FIND("■",Mail!$A51,FIND(H$2,Mail!$A51)+LEN(H$2))-FIND(H$2,Mail!$A51)-LEN(H$2)),LEN(Mail!$A51)-60-FIND(H$2,Mail!$A51)-LEN(H$2),FIND("■",Mail!$A51,FIND(H$2,Mail!$A51)+LEN(H$2))-FIND(H$2,Mail!$A51)-LEN(H$2)-1)))))</f>
        <v/>
      </c>
      <c r="I53" s="8" t="str">
        <f>TRIM(CLEAN(IF(ISERROR(FIND(I$2,Mail!$A51)),"",MID(Mail!$A51,FIND(I$2,Mail!$A51)+LEN(I$2)+1,IF(ISERROR(FIND("■",Mail!$A51,FIND(I$2,Mail!$A51)+LEN(I$2))-FIND(I$2,Mail!$A51)-LEN(I$2)),LEN(Mail!$A51)-60-FIND(I$2,Mail!$A51)-LEN(I$2),FIND("■",Mail!$A51,FIND(I$2,Mail!$A51)+LEN(I$2))-FIND(I$2,Mail!$A51)-LEN(I$2)-1)))))</f>
        <v/>
      </c>
      <c r="J53" s="8" t="str">
        <f>TRIM(IF(ISERROR(FIND(J$2,Mail!$A51)),"",MID(Mail!$A51,FIND(J$2,Mail!$A51)+LEN(J$2)+1,IF(ISERROR(FIND("■",Mail!$A51,FIND(J$2,Mail!$A51)+LEN(J$2))-FIND(J$2,Mail!$A51)-LEN(J$2)),LEN(Mail!$A51)-60-FIND(J$2,Mail!$A51)-LEN(J$2),FIND("■",Mail!$A51,FIND(J$2,Mail!$A51)+LEN(J$2))-FIND(J$2,Mail!$A51)-LEN(J$2)-1))))</f>
        <v/>
      </c>
      <c r="K53" s="8" t="str">
        <f>TRIM(IF(ISERROR(FIND(K$2,Mail!$A51)),"",MID(Mail!$A51,FIND(K$2,Mail!$A51)+LEN(K$2)+1,IF(ISERROR(FIND("■",Mail!$A51,FIND(K$2,Mail!$A51)+LEN(K$2))-FIND(K$2,Mail!$A51)-LEN(K$2)),LEN(Mail!$A51)-60-FIND(K$2,Mail!$A51)-LEN(K$2),FIND("■",Mail!$A51,FIND(K$2,Mail!$A51)+LEN(K$2))-FIND(K$2,Mail!$A51)-LEN(K$2)-1))))</f>
        <v/>
      </c>
      <c r="L53" s="8" t="str">
        <f>TRIM(IF(ISERROR(FIND(L$2,Mail!$A51)),"",MID(Mail!$A51,FIND(L$2,Mail!$A51)+LEN(L$2)+1,IF(ISERROR(FIND("■",Mail!$A51,FIND(L$2,Mail!$A51)+LEN(L$2))-FIND(L$2,Mail!$A51)-LEN(L$2)),LEN(Mail!$A51)-60-FIND(L$2,Mail!$A51)-LEN(L$2),FIND("■",Mail!$A51,FIND(L$2,Mail!$A51)+LEN(L$2))-FIND(L$2,Mail!$A51)-LEN(L$2)-1))))</f>
        <v/>
      </c>
      <c r="M53" s="8" t="str">
        <f>TRIM(CLEAN(IF(ISERROR(FIND(M$2,Mail!$A51)),"",MID(Mail!$A51,FIND(M$2,Mail!$A51)+LEN(M$2)+1,IF(ISERROR(FIND("■",Mail!$A51,FIND(M$2,Mail!$A51)+LEN(M$2))-FIND(M$2,Mail!$A51)-LEN(M$2)),LEN(Mail!$A51)-60-FIND(M$2,Mail!$A51)-LEN(M$2),FIND("■",Mail!$A51,FIND(M$2,Mail!$A51)+LEN(M$2))-FIND(M$2,Mail!$A51)-LEN(M$2)-1)))))</f>
        <v/>
      </c>
      <c r="N53" s="8" t="str">
        <f>TRIM(CLEAN(IF(ISERROR(FIND(N$2,Mail!$A51)),"",MID(Mail!$A51,FIND(N$2,Mail!$A51)+LEN(N$2)+1,IF(ISERROR(FIND("■",Mail!$A51,FIND(N$2,Mail!$A51)+LEN(N$2))-FIND(N$2,Mail!$A51)-LEN(N$2)),LEN(Mail!$A51)-60-FIND(N$2,Mail!$A51)-LEN(N$2),FIND("■",Mail!$A51,FIND(N$2,Mail!$A51)+LEN(N$2))-FIND(N$2,Mail!$A51)-LEN(N$2)-1)))))</f>
        <v/>
      </c>
      <c r="O53" s="8" t="str">
        <f>TRIM(CLEAN(IF(ISERROR(FIND(O$2,Mail!$A51)),"",MID(Mail!$A51,FIND(O$2,Mail!$A51)+LEN(O$2)+1,IF(ISERROR(FIND("■",Mail!$A51,FIND(O$2,Mail!$A51)+LEN(O$2))-FIND(O$2,Mail!$A51)-LEN(O$2)),LEN(Mail!$A51)-60-FIND(O$2,Mail!$A51)-LEN(O$2),FIND("■",Mail!$A51,FIND(O$2,Mail!$A51)+LEN(O$2))-FIND(O$2,Mail!$A51)-LEN(O$2)-1)))))</f>
        <v/>
      </c>
      <c r="P53" s="8" t="str">
        <f>TRIM(CLEAN(IF(ISERROR(FIND(P$2,Mail!$A51)),"",MID(Mail!$A51,FIND(P$2,Mail!$A51)+LEN(P$2)+1,IF(ISERROR(FIND("■",Mail!$A51,FIND(P$2,Mail!$A51)+LEN(P$2))-FIND(P$2,Mail!$A51)-LEN(P$2)),LEN(Mail!$A51)-60-FIND(P$2,Mail!$A51)-LEN(P$2),FIND("■",Mail!$A51,FIND(P$2,Mail!$A51)+LEN(P$2))-FIND(P$2,Mail!$A51)-LEN(P$2)-1)))))</f>
        <v/>
      </c>
      <c r="Q53" s="8" t="str">
        <f>TRIM(CLEAN(IF(ISERROR(FIND(Q$2,Mail!$A51)),"",MID(Mail!$A51,FIND(Q$2,Mail!$A51)+LEN(Q$2)+1,IF(ISERROR(FIND("■",Mail!$A51,FIND(Q$2,Mail!$A51)+LEN(Q$2))-FIND(Q$2,Mail!$A51)-LEN(Q$2)),LEN(Mail!$A51)-60-FIND(Q$2,Mail!$A51)-LEN(Q$2),FIND("■",Mail!$A51,FIND(Q$2,Mail!$A51)+LEN(Q$2))-FIND(Q$2,Mail!$A51)-LEN(Q$2)-1)))))</f>
        <v/>
      </c>
      <c r="R53" s="8" t="str">
        <f>TRIM(CLEAN(IF(ISERROR(FIND(R$2,Mail!$A51)),"",MID(Mail!$A51,FIND(R$2,Mail!$A51)+LEN(R$2)+1,IF(ISERROR(FIND("■",Mail!$A51,FIND(R$2,Mail!$A51)+LEN(R$2))-FIND(R$2,Mail!$A51)-LEN(R$2)),LEN(Mail!$A51)-60-FIND(R$2,Mail!$A51)-LEN(R$2),FIND("■",Mail!$A51,FIND(R$2,Mail!$A51)+LEN(R$2))-FIND(R$2,Mail!$A51)-LEN(R$2)-1)))))</f>
        <v/>
      </c>
      <c r="S53" s="8" t="str">
        <f>TRIM(CLEAN(IF(ISERROR(FIND(S$2,Mail!$A51)),"",MID(Mail!$A51,FIND(S$2,Mail!$A51)+LEN(S$2)+1,IF(ISERROR(FIND("■",Mail!$A51,FIND(S$2,Mail!$A51)+LEN(S$2))-FIND(S$2,Mail!$A51)-LEN(S$2)),LEN(Mail!$A51)-60-FIND(S$2,Mail!$A51)-LEN(S$2),FIND("■",Mail!$A51,FIND(S$2,Mail!$A51)+LEN(S$2))-FIND(S$2,Mail!$A51)-LEN(S$2)-1)))))</f>
        <v/>
      </c>
      <c r="T53" s="8" t="str">
        <f>TRIM(CLEAN(IF(ISERROR(FIND(T$2,Mail!$A51)),"",MID(Mail!$A51,FIND(T$2,Mail!$A51)+LEN(T$2)+1,IF(ISERROR(FIND("■",Mail!$A51,FIND(T$2,Mail!$A51)+LEN(T$2))-FIND(T$2,Mail!$A51)-LEN(T$2)),LEN(Mail!$A51)-60-FIND(T$2,Mail!$A51)-LEN(T$2),FIND("■",Mail!$A51,FIND(T$2,Mail!$A51)+LEN(T$2))-FIND(T$2,Mail!$A51)-LEN(T$2)-1)))))</f>
        <v/>
      </c>
      <c r="U53" s="8" t="str">
        <f>TRIM(CLEAN(IF(ISERROR(FIND(U$2,Mail!$A51)),"",MID(Mail!$A51,FIND(U$2,Mail!$A51)+LEN(U$2)+1,IF(ISERROR(FIND("■",Mail!$A51,FIND(U$2,Mail!$A51)+LEN(U$2))-FIND(U$2,Mail!$A51)-LEN(U$2)),LEN(Mail!$A51)-60-FIND(U$2,Mail!$A51)-LEN(U$2),FIND("■",Mail!$A51,FIND(U$2,Mail!$A51)+LEN(U$2))-FIND(U$2,Mail!$A51)-LEN(U$2)-1)))))</f>
        <v/>
      </c>
      <c r="V53" s="8" t="str">
        <f>TRIM(CLEAN(IF(ISERROR(FIND(V$2,Mail!$A51)),"",MID(Mail!$A51,FIND(V$2,Mail!$A51)+LEN(V$2)+1,IF(ISERROR(FIND("■",Mail!$A51,FIND(V$2,Mail!$A51)+LEN(V$2))-FIND(V$2,Mail!$A51)-LEN(V$2)),LEN(Mail!$A51)-60-FIND(V$2,Mail!$A51)-LEN(V$2),FIND("■",Mail!$A51,FIND(V$2,Mail!$A51)+LEN(V$2))-FIND(V$2,Mail!$A51)-LEN(V$2)-1)))))</f>
        <v/>
      </c>
      <c r="W53" s="8" t="str">
        <f>TRIM(CLEAN(IF(ISERROR(FIND(W$2,Mail!$A51)),"",MID(Mail!$A51,FIND(W$2,Mail!$A51)+LEN(W$2)+1,IF(ISERROR(FIND("■",Mail!$A51,FIND(W$2,Mail!$A51)+LEN(W$2))-FIND(W$2,Mail!$A51)-LEN(W$2)),LEN(Mail!$A51)-60-FIND(W$2,Mail!$A51)-LEN(W$2),FIND("■",Mail!$A51,FIND(W$2,Mail!$A51)+LEN(W$2))-FIND(W$2,Mail!$A51)-LEN(W$2)-1)))))</f>
        <v/>
      </c>
      <c r="X53" s="8" t="str">
        <f>TRIM(IF(ISERROR(FIND(X$2,Mail!$A51)),"",MID(Mail!$A51,FIND(X$2,Mail!$A51)+LEN(X$2)+1,IF(ISERROR(FIND("■",Mail!$A51,FIND(X$2,Mail!$A51)+LEN(X$2))-FIND(X$2,Mail!$A51)-LEN(X$2)),LEN(Mail!$A51)-60-FIND(X$2,Mail!$A51)-LEN(X$2),FIND("■",Mail!$A51,FIND(X$2,Mail!$A51)+LEN(X$2))-FIND(X$2,Mail!$A51)-LEN(X$2)-1))))</f>
        <v/>
      </c>
      <c r="Y53" s="8" t="str">
        <f>TRIM(CLEAN(IF(ISERROR(FIND(Y$2,Mail!$A51)),"",MID(Mail!$A51,FIND(Y$2,Mail!$A51)+LEN(Y$2)+1,IF(ISERROR(FIND("■",Mail!$A51,FIND(Y$2,Mail!$A51)+LEN(Y$2))-FIND(Y$2,Mail!$A51)-LEN(Y$2)),LEN(Mail!$A51)-60-FIND(Y$2,Mail!$A51)-LEN(Y$2),FIND("■",Mail!$A51,FIND(Y$2,Mail!$A51)+LEN(Y$2))-FIND(Y$2,Mail!$A51)-LEN(Y$2)-1)))))</f>
        <v/>
      </c>
      <c r="Z53" s="8" t="str">
        <f>TRIM(CLEAN(IF(ISERROR(FIND(Z$2,Mail!$A51)),"",MID(Mail!$A51,FIND(Z$2,Mail!$A51)+LEN(Z$2)+1,IF(ISERROR(FIND("■",Mail!$A51,FIND(Z$2,Mail!$A51)+LEN(Z$2))-FIND(Z$2,Mail!$A51)-LEN(Z$2)),LEN(Mail!$A51)-60-FIND(Z$2,Mail!$A51)-LEN(Z$2),FIND("■",Mail!$A51,FIND(Z$2,Mail!$A51)+LEN(Z$2))-FIND(Z$2,Mail!$A51)-LEN(Z$2)-1)))))</f>
        <v/>
      </c>
      <c r="AA53" s="8" t="str">
        <f>TRIM(CLEAN(IF(ISERROR(FIND(AA$2,Mail!$A51)),"",MID(Mail!$A51,FIND(AA$2,Mail!$A51)+LEN(AA$2)+1,IF(ISERROR(FIND("■",Mail!$A51,FIND(AA$2,Mail!$A51)+LEN(AA$2))-FIND(AA$2,Mail!$A51)-LEN(AA$2)),LEN(Mail!$A51)-60-FIND(AA$2,Mail!$A51)-LEN(AA$2),FIND("■",Mail!$A51,FIND(AA$2,Mail!$A51)+LEN(AA$2))-FIND(AA$2,Mail!$A51)-LEN(AA$2)-1)))))</f>
        <v/>
      </c>
      <c r="AB53" s="8" t="str">
        <f>TRIM(CLEAN(IF(ISERROR(FIND(AB$2,Mail!$A51)),"",MID(Mail!$A51,FIND(AB$2,Mail!$A51)+LEN(AB$2)+1,IF(ISERROR(FIND("■",Mail!$A51,FIND(AB$2,Mail!$A51)+LEN(AB$2))-FIND(AB$2,Mail!$A51)-LEN(AB$2)),LEN(Mail!$A51)-60-FIND(AB$2,Mail!$A51)-LEN(AB$2),FIND("■",Mail!$A51,FIND(AB$2,Mail!$A51)+LEN(AB$2))-FIND(AB$2,Mail!$A51)-LEN(AB$2)-1)))))</f>
        <v/>
      </c>
      <c r="AC53" s="8" t="str">
        <f>TRIM(CLEAN(IF(ISERROR(FIND(AC$2,Mail!$A51)),"",MID(Mail!$A51,FIND(AC$2,Mail!$A51)+LEN(AC$2)+1,IF(ISERROR(FIND("■",Mail!$A51,FIND(AC$2,Mail!$A51)+LEN(AC$2))-FIND(AC$2,Mail!$A51)-LEN(AC$2)),LEN(Mail!$A51)-60-FIND(AC$2,Mail!$A51)-LEN(AC$2),FIND("■",Mail!$A51,FIND(AC$2,Mail!$A51)+LEN(AC$2))-FIND(AC$2,Mail!$A51)-LEN(AC$2)-1)))))</f>
        <v/>
      </c>
      <c r="AD53" s="8" t="str">
        <f>TRIM(CLEAN(IF(ISERROR(FIND(AD$2,Mail!$A51)),"",MID(Mail!$A51,FIND(AD$2,Mail!$A51)+LEN(AD$2)+1,IF(ISERROR(FIND("■",Mail!$A51,FIND(AD$2,Mail!$A51)+LEN(AD$2))-FIND(AD$2,Mail!$A51)-LEN(AD$2)),LEN(Mail!$A51)-60-FIND(AD$2,Mail!$A51)-LEN(AD$2),FIND("■",Mail!$A51,FIND(AD$2,Mail!$A51)+LEN(AD$2))-FIND(AD$2,Mail!$A51)-LEN(AD$2)-1)))))</f>
        <v/>
      </c>
      <c r="AE53" s="8" t="str">
        <f>TRIM(CLEAN(IF(ISERROR(FIND(AE$2,Mail!$A51)),"",MID(Mail!$A51,FIND(AE$2,Mail!$A51)+LEN(AE$2)+1,IF(ISERROR(FIND("■",Mail!$A51,FIND(AE$2,Mail!$A51)+LEN(AE$2))-FIND(AE$2,Mail!$A51)-LEN(AE$2)),LEN(Mail!$A51)-60-FIND(AE$2,Mail!$A51)-LEN(AE$2),FIND("■",Mail!$A51,FIND(AE$2,Mail!$A51)+LEN(AE$2))-FIND(AE$2,Mail!$A51)-LEN(AE$2)-1)))))</f>
        <v/>
      </c>
      <c r="AF53" s="8" t="str">
        <f>TRIM(CLEAN(IF(ISERROR(FIND(AF$2,Mail!$A51)),"",MID(Mail!$A51,FIND(AF$2,Mail!$A51)+LEN(AF$2)+1,IF(ISERROR(FIND("■",Mail!$A51,FIND(AF$2,Mail!$A51)+LEN(AF$2))-FIND(AF$2,Mail!$A51)-LEN(AF$2)),LEN(Mail!$A51)-60-FIND(AF$2,Mail!$A51)-LEN(AF$2),FIND("■",Mail!$A51,FIND(AF$2,Mail!$A51)+LEN(AF$2))-FIND(AF$2,Mail!$A51)-LEN(AF$2)-1)))))</f>
        <v/>
      </c>
      <c r="AG53" s="8" t="str">
        <f>TRIM(IF(ISERROR(FIND(AG$2,Mail!$A51)),"",MID(Mail!$A51,FIND(AG$2,Mail!$A51)+LEN(AG$2)+1,IF(ISERROR(FIND("■",Mail!$A51,FIND(AG$2,Mail!$A51)+LEN(AG$2))-FIND(AG$2,Mail!$A51)-LEN(AG$2)),LEN(Mail!$A51)-60-FIND(AG$2,Mail!$A51)-LEN(AG$2),FIND("■",Mail!$A51,FIND(AG$2,Mail!$A51)+LEN(AG$2))-FIND(AG$2,Mail!$A51)-LEN(AG$2)-1))))</f>
        <v/>
      </c>
      <c r="AH53" s="8" t="str">
        <f>TRIM(IF(ISERROR(FIND(AH$2,Mail!$A51)),"",MID(Mail!$A51,FIND(AH$2,Mail!$A51)+LEN(AH$2)+1,IF(ISERROR(FIND("■",Mail!$A51,FIND(AH$2,Mail!$A51)+LEN(AH$2))-FIND(AH$2,Mail!$A51)-LEN(AH$2)),LEN(Mail!$A51)-60-FIND(AH$2,Mail!$A51)-LEN(AH$2),FIND("■",Mail!$A51,FIND(AH$2,Mail!$A51)+LEN(AH$2))-FIND(AH$2,Mail!$A51)-LEN(AH$2)-1))))</f>
        <v/>
      </c>
      <c r="AI53" s="8" t="str">
        <f>TRIM(IF(ISERROR(FIND(AI$2,Mail!$A51)),"",MID(Mail!$A51,FIND(AI$2,Mail!$A51)+LEN(AI$2)+1,IF(ISERROR(FIND("■",Mail!$A51,FIND(AI$2,Mail!$A51)+LEN(AI$2))-FIND(AI$2,Mail!$A51)-LEN(AI$2)),LEN(Mail!$A51)-60-FIND(AI$2,Mail!$A51)-LEN(AI$2),FIND("■",Mail!$A51,FIND(AI$2,Mail!$A51)+LEN(AI$2))-FIND(AI$2,Mail!$A51)-LEN(AI$2)-1))))</f>
        <v/>
      </c>
    </row>
    <row r="54" spans="1:35" s="8" customFormat="1" x14ac:dyDescent="0.15">
      <c r="A54" s="9" t="str">
        <f t="shared" si="1"/>
        <v/>
      </c>
      <c r="B54" s="8" t="str">
        <f>CLEAN(SUBSTITUTE(IF(ISERROR(FIND("yokohama",Mail!$A52)),"",MID(Mail!$A52,FIND("yokohama",Mail!$A52)+LEN("yokohama")+1,FIND("件目",Mail!$A52,FIND("yokohama",Mail!$A52))-(FIND("yokohama",Mail!$A52)+LEN("yokohama")+1)))," ",""))</f>
        <v/>
      </c>
      <c r="C54" s="9" t="str">
        <f t="shared" si="4"/>
        <v/>
      </c>
      <c r="D54" s="9" t="str">
        <f t="shared" si="2"/>
        <v/>
      </c>
      <c r="E54" s="8" t="str">
        <f t="shared" si="3"/>
        <v/>
      </c>
      <c r="F54" s="8" t="str">
        <f>TRIM(CLEAN(IF(ISERROR(FIND(F$2,Mail!$A52)),"",MID(Mail!$A52,FIND(F$2,Mail!$A52)+LEN(F$2)+1,IF(ISERROR(FIND("■",Mail!$A52,FIND(F$2,Mail!$A52)+LEN(F$2))-FIND(F$2,Mail!$A52)-LEN(F$2)),LEN(Mail!$A52)-60-FIND(F$2,Mail!$A52)-LEN(F$2),FIND("■",Mail!$A52,FIND(F$2,Mail!$A52)+LEN(F$2))-FIND(F$2,Mail!$A52)-LEN(F$2)-1)))))</f>
        <v/>
      </c>
      <c r="G54" s="8" t="str">
        <f>TRIM(CLEAN(IF(ISERROR(FIND(G$2,Mail!$A52)),"",MID(Mail!$A52,FIND(G$2,Mail!$A52)+LEN(G$2)+1,IF(ISERROR(FIND("■",Mail!$A52,FIND(G$2,Mail!$A52)+LEN(G$2))-FIND(G$2,Mail!$A52)-LEN(G$2)),LEN(Mail!$A52)-60-FIND(G$2,Mail!$A52)-LEN(G$2),FIND("■",Mail!$A52,FIND(G$2,Mail!$A52)+LEN(G$2))-FIND(G$2,Mail!$A52)-LEN(G$2)-1)))))</f>
        <v/>
      </c>
      <c r="H54" s="8" t="str">
        <f>TRIM(CLEAN(IF(ISERROR(FIND(H$2,Mail!$A52)),"",MID(Mail!$A52,FIND(H$2,Mail!$A52)+LEN(H$2)+1,IF(ISERROR(FIND("■",Mail!$A52,FIND(H$2,Mail!$A52)+LEN(H$2))-FIND(H$2,Mail!$A52)-LEN(H$2)),LEN(Mail!$A52)-60-FIND(H$2,Mail!$A52)-LEN(H$2),FIND("■",Mail!$A52,FIND(H$2,Mail!$A52)+LEN(H$2))-FIND(H$2,Mail!$A52)-LEN(H$2)-1)))))</f>
        <v/>
      </c>
      <c r="I54" s="8" t="str">
        <f>TRIM(CLEAN(IF(ISERROR(FIND(I$2,Mail!$A52)),"",MID(Mail!$A52,FIND(I$2,Mail!$A52)+LEN(I$2)+1,IF(ISERROR(FIND("■",Mail!$A52,FIND(I$2,Mail!$A52)+LEN(I$2))-FIND(I$2,Mail!$A52)-LEN(I$2)),LEN(Mail!$A52)-60-FIND(I$2,Mail!$A52)-LEN(I$2),FIND("■",Mail!$A52,FIND(I$2,Mail!$A52)+LEN(I$2))-FIND(I$2,Mail!$A52)-LEN(I$2)-1)))))</f>
        <v/>
      </c>
      <c r="J54" s="8" t="str">
        <f>TRIM(IF(ISERROR(FIND(J$2,Mail!$A52)),"",MID(Mail!$A52,FIND(J$2,Mail!$A52)+LEN(J$2)+1,IF(ISERROR(FIND("■",Mail!$A52,FIND(J$2,Mail!$A52)+LEN(J$2))-FIND(J$2,Mail!$A52)-LEN(J$2)),LEN(Mail!$A52)-60-FIND(J$2,Mail!$A52)-LEN(J$2),FIND("■",Mail!$A52,FIND(J$2,Mail!$A52)+LEN(J$2))-FIND(J$2,Mail!$A52)-LEN(J$2)-1))))</f>
        <v/>
      </c>
      <c r="K54" s="8" t="str">
        <f>TRIM(IF(ISERROR(FIND(K$2,Mail!$A52)),"",MID(Mail!$A52,FIND(K$2,Mail!$A52)+LEN(K$2)+1,IF(ISERROR(FIND("■",Mail!$A52,FIND(K$2,Mail!$A52)+LEN(K$2))-FIND(K$2,Mail!$A52)-LEN(K$2)),LEN(Mail!$A52)-60-FIND(K$2,Mail!$A52)-LEN(K$2),FIND("■",Mail!$A52,FIND(K$2,Mail!$A52)+LEN(K$2))-FIND(K$2,Mail!$A52)-LEN(K$2)-1))))</f>
        <v/>
      </c>
      <c r="L54" s="8" t="str">
        <f>TRIM(IF(ISERROR(FIND(L$2,Mail!$A52)),"",MID(Mail!$A52,FIND(L$2,Mail!$A52)+LEN(L$2)+1,IF(ISERROR(FIND("■",Mail!$A52,FIND(L$2,Mail!$A52)+LEN(L$2))-FIND(L$2,Mail!$A52)-LEN(L$2)),LEN(Mail!$A52)-60-FIND(L$2,Mail!$A52)-LEN(L$2),FIND("■",Mail!$A52,FIND(L$2,Mail!$A52)+LEN(L$2))-FIND(L$2,Mail!$A52)-LEN(L$2)-1))))</f>
        <v/>
      </c>
      <c r="M54" s="8" t="str">
        <f>TRIM(CLEAN(IF(ISERROR(FIND(M$2,Mail!$A52)),"",MID(Mail!$A52,FIND(M$2,Mail!$A52)+LEN(M$2)+1,IF(ISERROR(FIND("■",Mail!$A52,FIND(M$2,Mail!$A52)+LEN(M$2))-FIND(M$2,Mail!$A52)-LEN(M$2)),LEN(Mail!$A52)-60-FIND(M$2,Mail!$A52)-LEN(M$2),FIND("■",Mail!$A52,FIND(M$2,Mail!$A52)+LEN(M$2))-FIND(M$2,Mail!$A52)-LEN(M$2)-1)))))</f>
        <v/>
      </c>
      <c r="N54" s="8" t="str">
        <f>TRIM(CLEAN(IF(ISERROR(FIND(N$2,Mail!$A52)),"",MID(Mail!$A52,FIND(N$2,Mail!$A52)+LEN(N$2)+1,IF(ISERROR(FIND("■",Mail!$A52,FIND(N$2,Mail!$A52)+LEN(N$2))-FIND(N$2,Mail!$A52)-LEN(N$2)),LEN(Mail!$A52)-60-FIND(N$2,Mail!$A52)-LEN(N$2),FIND("■",Mail!$A52,FIND(N$2,Mail!$A52)+LEN(N$2))-FIND(N$2,Mail!$A52)-LEN(N$2)-1)))))</f>
        <v/>
      </c>
      <c r="O54" s="8" t="str">
        <f>TRIM(CLEAN(IF(ISERROR(FIND(O$2,Mail!$A52)),"",MID(Mail!$A52,FIND(O$2,Mail!$A52)+LEN(O$2)+1,IF(ISERROR(FIND("■",Mail!$A52,FIND(O$2,Mail!$A52)+LEN(O$2))-FIND(O$2,Mail!$A52)-LEN(O$2)),LEN(Mail!$A52)-60-FIND(O$2,Mail!$A52)-LEN(O$2),FIND("■",Mail!$A52,FIND(O$2,Mail!$A52)+LEN(O$2))-FIND(O$2,Mail!$A52)-LEN(O$2)-1)))))</f>
        <v/>
      </c>
      <c r="P54" s="8" t="str">
        <f>TRIM(CLEAN(IF(ISERROR(FIND(P$2,Mail!$A52)),"",MID(Mail!$A52,FIND(P$2,Mail!$A52)+LEN(P$2)+1,IF(ISERROR(FIND("■",Mail!$A52,FIND(P$2,Mail!$A52)+LEN(P$2))-FIND(P$2,Mail!$A52)-LEN(P$2)),LEN(Mail!$A52)-60-FIND(P$2,Mail!$A52)-LEN(P$2),FIND("■",Mail!$A52,FIND(P$2,Mail!$A52)+LEN(P$2))-FIND(P$2,Mail!$A52)-LEN(P$2)-1)))))</f>
        <v/>
      </c>
      <c r="Q54" s="8" t="str">
        <f>TRIM(CLEAN(IF(ISERROR(FIND(Q$2,Mail!$A52)),"",MID(Mail!$A52,FIND(Q$2,Mail!$A52)+LEN(Q$2)+1,IF(ISERROR(FIND("■",Mail!$A52,FIND(Q$2,Mail!$A52)+LEN(Q$2))-FIND(Q$2,Mail!$A52)-LEN(Q$2)),LEN(Mail!$A52)-60-FIND(Q$2,Mail!$A52)-LEN(Q$2),FIND("■",Mail!$A52,FIND(Q$2,Mail!$A52)+LEN(Q$2))-FIND(Q$2,Mail!$A52)-LEN(Q$2)-1)))))</f>
        <v/>
      </c>
      <c r="R54" s="8" t="str">
        <f>TRIM(CLEAN(IF(ISERROR(FIND(R$2,Mail!$A52)),"",MID(Mail!$A52,FIND(R$2,Mail!$A52)+LEN(R$2)+1,IF(ISERROR(FIND("■",Mail!$A52,FIND(R$2,Mail!$A52)+LEN(R$2))-FIND(R$2,Mail!$A52)-LEN(R$2)),LEN(Mail!$A52)-60-FIND(R$2,Mail!$A52)-LEN(R$2),FIND("■",Mail!$A52,FIND(R$2,Mail!$A52)+LEN(R$2))-FIND(R$2,Mail!$A52)-LEN(R$2)-1)))))</f>
        <v/>
      </c>
      <c r="S54" s="8" t="str">
        <f>TRIM(CLEAN(IF(ISERROR(FIND(S$2,Mail!$A52)),"",MID(Mail!$A52,FIND(S$2,Mail!$A52)+LEN(S$2)+1,IF(ISERROR(FIND("■",Mail!$A52,FIND(S$2,Mail!$A52)+LEN(S$2))-FIND(S$2,Mail!$A52)-LEN(S$2)),LEN(Mail!$A52)-60-FIND(S$2,Mail!$A52)-LEN(S$2),FIND("■",Mail!$A52,FIND(S$2,Mail!$A52)+LEN(S$2))-FIND(S$2,Mail!$A52)-LEN(S$2)-1)))))</f>
        <v/>
      </c>
      <c r="T54" s="8" t="str">
        <f>TRIM(CLEAN(IF(ISERROR(FIND(T$2,Mail!$A52)),"",MID(Mail!$A52,FIND(T$2,Mail!$A52)+LEN(T$2)+1,IF(ISERROR(FIND("■",Mail!$A52,FIND(T$2,Mail!$A52)+LEN(T$2))-FIND(T$2,Mail!$A52)-LEN(T$2)),LEN(Mail!$A52)-60-FIND(T$2,Mail!$A52)-LEN(T$2),FIND("■",Mail!$A52,FIND(T$2,Mail!$A52)+LEN(T$2))-FIND(T$2,Mail!$A52)-LEN(T$2)-1)))))</f>
        <v/>
      </c>
      <c r="U54" s="8" t="str">
        <f>TRIM(CLEAN(IF(ISERROR(FIND(U$2,Mail!$A52)),"",MID(Mail!$A52,FIND(U$2,Mail!$A52)+LEN(U$2)+1,IF(ISERROR(FIND("■",Mail!$A52,FIND(U$2,Mail!$A52)+LEN(U$2))-FIND(U$2,Mail!$A52)-LEN(U$2)),LEN(Mail!$A52)-60-FIND(U$2,Mail!$A52)-LEN(U$2),FIND("■",Mail!$A52,FIND(U$2,Mail!$A52)+LEN(U$2))-FIND(U$2,Mail!$A52)-LEN(U$2)-1)))))</f>
        <v/>
      </c>
      <c r="V54" s="8" t="str">
        <f>TRIM(CLEAN(IF(ISERROR(FIND(V$2,Mail!$A52)),"",MID(Mail!$A52,FIND(V$2,Mail!$A52)+LEN(V$2)+1,IF(ISERROR(FIND("■",Mail!$A52,FIND(V$2,Mail!$A52)+LEN(V$2))-FIND(V$2,Mail!$A52)-LEN(V$2)),LEN(Mail!$A52)-60-FIND(V$2,Mail!$A52)-LEN(V$2),FIND("■",Mail!$A52,FIND(V$2,Mail!$A52)+LEN(V$2))-FIND(V$2,Mail!$A52)-LEN(V$2)-1)))))</f>
        <v/>
      </c>
      <c r="W54" s="8" t="str">
        <f>TRIM(CLEAN(IF(ISERROR(FIND(W$2,Mail!$A52)),"",MID(Mail!$A52,FIND(W$2,Mail!$A52)+LEN(W$2)+1,IF(ISERROR(FIND("■",Mail!$A52,FIND(W$2,Mail!$A52)+LEN(W$2))-FIND(W$2,Mail!$A52)-LEN(W$2)),LEN(Mail!$A52)-60-FIND(W$2,Mail!$A52)-LEN(W$2),FIND("■",Mail!$A52,FIND(W$2,Mail!$A52)+LEN(W$2))-FIND(W$2,Mail!$A52)-LEN(W$2)-1)))))</f>
        <v/>
      </c>
      <c r="X54" s="8" t="str">
        <f>TRIM(IF(ISERROR(FIND(X$2,Mail!$A52)),"",MID(Mail!$A52,FIND(X$2,Mail!$A52)+LEN(X$2)+1,IF(ISERROR(FIND("■",Mail!$A52,FIND(X$2,Mail!$A52)+LEN(X$2))-FIND(X$2,Mail!$A52)-LEN(X$2)),LEN(Mail!$A52)-60-FIND(X$2,Mail!$A52)-LEN(X$2),FIND("■",Mail!$A52,FIND(X$2,Mail!$A52)+LEN(X$2))-FIND(X$2,Mail!$A52)-LEN(X$2)-1))))</f>
        <v/>
      </c>
      <c r="Y54" s="8" t="str">
        <f>TRIM(CLEAN(IF(ISERROR(FIND(Y$2,Mail!$A52)),"",MID(Mail!$A52,FIND(Y$2,Mail!$A52)+LEN(Y$2)+1,IF(ISERROR(FIND("■",Mail!$A52,FIND(Y$2,Mail!$A52)+LEN(Y$2))-FIND(Y$2,Mail!$A52)-LEN(Y$2)),LEN(Mail!$A52)-60-FIND(Y$2,Mail!$A52)-LEN(Y$2),FIND("■",Mail!$A52,FIND(Y$2,Mail!$A52)+LEN(Y$2))-FIND(Y$2,Mail!$A52)-LEN(Y$2)-1)))))</f>
        <v/>
      </c>
      <c r="Z54" s="8" t="str">
        <f>TRIM(CLEAN(IF(ISERROR(FIND(Z$2,Mail!$A52)),"",MID(Mail!$A52,FIND(Z$2,Mail!$A52)+LEN(Z$2)+1,IF(ISERROR(FIND("■",Mail!$A52,FIND(Z$2,Mail!$A52)+LEN(Z$2))-FIND(Z$2,Mail!$A52)-LEN(Z$2)),LEN(Mail!$A52)-60-FIND(Z$2,Mail!$A52)-LEN(Z$2),FIND("■",Mail!$A52,FIND(Z$2,Mail!$A52)+LEN(Z$2))-FIND(Z$2,Mail!$A52)-LEN(Z$2)-1)))))</f>
        <v/>
      </c>
      <c r="AA54" s="8" t="str">
        <f>TRIM(CLEAN(IF(ISERROR(FIND(AA$2,Mail!$A52)),"",MID(Mail!$A52,FIND(AA$2,Mail!$A52)+LEN(AA$2)+1,IF(ISERROR(FIND("■",Mail!$A52,FIND(AA$2,Mail!$A52)+LEN(AA$2))-FIND(AA$2,Mail!$A52)-LEN(AA$2)),LEN(Mail!$A52)-60-FIND(AA$2,Mail!$A52)-LEN(AA$2),FIND("■",Mail!$A52,FIND(AA$2,Mail!$A52)+LEN(AA$2))-FIND(AA$2,Mail!$A52)-LEN(AA$2)-1)))))</f>
        <v/>
      </c>
      <c r="AB54" s="8" t="str">
        <f>TRIM(CLEAN(IF(ISERROR(FIND(AB$2,Mail!$A52)),"",MID(Mail!$A52,FIND(AB$2,Mail!$A52)+LEN(AB$2)+1,IF(ISERROR(FIND("■",Mail!$A52,FIND(AB$2,Mail!$A52)+LEN(AB$2))-FIND(AB$2,Mail!$A52)-LEN(AB$2)),LEN(Mail!$A52)-60-FIND(AB$2,Mail!$A52)-LEN(AB$2),FIND("■",Mail!$A52,FIND(AB$2,Mail!$A52)+LEN(AB$2))-FIND(AB$2,Mail!$A52)-LEN(AB$2)-1)))))</f>
        <v/>
      </c>
      <c r="AC54" s="8" t="str">
        <f>TRIM(CLEAN(IF(ISERROR(FIND(AC$2,Mail!$A52)),"",MID(Mail!$A52,FIND(AC$2,Mail!$A52)+LEN(AC$2)+1,IF(ISERROR(FIND("■",Mail!$A52,FIND(AC$2,Mail!$A52)+LEN(AC$2))-FIND(AC$2,Mail!$A52)-LEN(AC$2)),LEN(Mail!$A52)-60-FIND(AC$2,Mail!$A52)-LEN(AC$2),FIND("■",Mail!$A52,FIND(AC$2,Mail!$A52)+LEN(AC$2))-FIND(AC$2,Mail!$A52)-LEN(AC$2)-1)))))</f>
        <v/>
      </c>
      <c r="AD54" s="8" t="str">
        <f>TRIM(CLEAN(IF(ISERROR(FIND(AD$2,Mail!$A52)),"",MID(Mail!$A52,FIND(AD$2,Mail!$A52)+LEN(AD$2)+1,IF(ISERROR(FIND("■",Mail!$A52,FIND(AD$2,Mail!$A52)+LEN(AD$2))-FIND(AD$2,Mail!$A52)-LEN(AD$2)),LEN(Mail!$A52)-60-FIND(AD$2,Mail!$A52)-LEN(AD$2),FIND("■",Mail!$A52,FIND(AD$2,Mail!$A52)+LEN(AD$2))-FIND(AD$2,Mail!$A52)-LEN(AD$2)-1)))))</f>
        <v/>
      </c>
      <c r="AE54" s="8" t="str">
        <f>TRIM(CLEAN(IF(ISERROR(FIND(AE$2,Mail!$A52)),"",MID(Mail!$A52,FIND(AE$2,Mail!$A52)+LEN(AE$2)+1,IF(ISERROR(FIND("■",Mail!$A52,FIND(AE$2,Mail!$A52)+LEN(AE$2))-FIND(AE$2,Mail!$A52)-LEN(AE$2)),LEN(Mail!$A52)-60-FIND(AE$2,Mail!$A52)-LEN(AE$2),FIND("■",Mail!$A52,FIND(AE$2,Mail!$A52)+LEN(AE$2))-FIND(AE$2,Mail!$A52)-LEN(AE$2)-1)))))</f>
        <v/>
      </c>
      <c r="AF54" s="8" t="str">
        <f>TRIM(CLEAN(IF(ISERROR(FIND(AF$2,Mail!$A52)),"",MID(Mail!$A52,FIND(AF$2,Mail!$A52)+LEN(AF$2)+1,IF(ISERROR(FIND("■",Mail!$A52,FIND(AF$2,Mail!$A52)+LEN(AF$2))-FIND(AF$2,Mail!$A52)-LEN(AF$2)),LEN(Mail!$A52)-60-FIND(AF$2,Mail!$A52)-LEN(AF$2),FIND("■",Mail!$A52,FIND(AF$2,Mail!$A52)+LEN(AF$2))-FIND(AF$2,Mail!$A52)-LEN(AF$2)-1)))))</f>
        <v/>
      </c>
      <c r="AG54" s="8" t="str">
        <f>TRIM(IF(ISERROR(FIND(AG$2,Mail!$A52)),"",MID(Mail!$A52,FIND(AG$2,Mail!$A52)+LEN(AG$2)+1,IF(ISERROR(FIND("■",Mail!$A52,FIND(AG$2,Mail!$A52)+LEN(AG$2))-FIND(AG$2,Mail!$A52)-LEN(AG$2)),LEN(Mail!$A52)-60-FIND(AG$2,Mail!$A52)-LEN(AG$2),FIND("■",Mail!$A52,FIND(AG$2,Mail!$A52)+LEN(AG$2))-FIND(AG$2,Mail!$A52)-LEN(AG$2)-1))))</f>
        <v/>
      </c>
      <c r="AH54" s="8" t="str">
        <f>TRIM(IF(ISERROR(FIND(AH$2,Mail!$A52)),"",MID(Mail!$A52,FIND(AH$2,Mail!$A52)+LEN(AH$2)+1,IF(ISERROR(FIND("■",Mail!$A52,FIND(AH$2,Mail!$A52)+LEN(AH$2))-FIND(AH$2,Mail!$A52)-LEN(AH$2)),LEN(Mail!$A52)-60-FIND(AH$2,Mail!$A52)-LEN(AH$2),FIND("■",Mail!$A52,FIND(AH$2,Mail!$A52)+LEN(AH$2))-FIND(AH$2,Mail!$A52)-LEN(AH$2)-1))))</f>
        <v/>
      </c>
      <c r="AI54" s="8" t="str">
        <f>TRIM(IF(ISERROR(FIND(AI$2,Mail!$A52)),"",MID(Mail!$A52,FIND(AI$2,Mail!$A52)+LEN(AI$2)+1,IF(ISERROR(FIND("■",Mail!$A52,FIND(AI$2,Mail!$A52)+LEN(AI$2))-FIND(AI$2,Mail!$A52)-LEN(AI$2)),LEN(Mail!$A52)-60-FIND(AI$2,Mail!$A52)-LEN(AI$2),FIND("■",Mail!$A52,FIND(AI$2,Mail!$A52)+LEN(AI$2))-FIND(AI$2,Mail!$A52)-LEN(AI$2)-1))))</f>
        <v/>
      </c>
    </row>
    <row r="55" spans="1:35" s="8" customFormat="1" x14ac:dyDescent="0.15">
      <c r="A55" s="9" t="str">
        <f t="shared" si="1"/>
        <v/>
      </c>
      <c r="B55" s="8" t="str">
        <f>CLEAN(SUBSTITUTE(IF(ISERROR(FIND("yokohama",Mail!$A53)),"",MID(Mail!$A53,FIND("yokohama",Mail!$A53)+LEN("yokohama")+1,FIND("件目",Mail!$A53,FIND("yokohama",Mail!$A53))-(FIND("yokohama",Mail!$A53)+LEN("yokohama")+1)))," ",""))</f>
        <v/>
      </c>
      <c r="C55" s="9" t="str">
        <f t="shared" si="4"/>
        <v/>
      </c>
      <c r="D55" s="9" t="str">
        <f t="shared" si="2"/>
        <v/>
      </c>
      <c r="E55" s="8" t="str">
        <f t="shared" si="3"/>
        <v/>
      </c>
      <c r="F55" s="8" t="str">
        <f>TRIM(CLEAN(IF(ISERROR(FIND(F$2,Mail!$A53)),"",MID(Mail!$A53,FIND(F$2,Mail!$A53)+LEN(F$2)+1,IF(ISERROR(FIND("■",Mail!$A53,FIND(F$2,Mail!$A53)+LEN(F$2))-FIND(F$2,Mail!$A53)-LEN(F$2)),LEN(Mail!$A53)-60-FIND(F$2,Mail!$A53)-LEN(F$2),FIND("■",Mail!$A53,FIND(F$2,Mail!$A53)+LEN(F$2))-FIND(F$2,Mail!$A53)-LEN(F$2)-1)))))</f>
        <v/>
      </c>
      <c r="G55" s="8" t="str">
        <f>TRIM(CLEAN(IF(ISERROR(FIND(G$2,Mail!$A53)),"",MID(Mail!$A53,FIND(G$2,Mail!$A53)+LEN(G$2)+1,IF(ISERROR(FIND("■",Mail!$A53,FIND(G$2,Mail!$A53)+LEN(G$2))-FIND(G$2,Mail!$A53)-LEN(G$2)),LEN(Mail!$A53)-60-FIND(G$2,Mail!$A53)-LEN(G$2),FIND("■",Mail!$A53,FIND(G$2,Mail!$A53)+LEN(G$2))-FIND(G$2,Mail!$A53)-LEN(G$2)-1)))))</f>
        <v/>
      </c>
      <c r="H55" s="8" t="str">
        <f>TRIM(CLEAN(IF(ISERROR(FIND(H$2,Mail!$A53)),"",MID(Mail!$A53,FIND(H$2,Mail!$A53)+LEN(H$2)+1,IF(ISERROR(FIND("■",Mail!$A53,FIND(H$2,Mail!$A53)+LEN(H$2))-FIND(H$2,Mail!$A53)-LEN(H$2)),LEN(Mail!$A53)-60-FIND(H$2,Mail!$A53)-LEN(H$2),FIND("■",Mail!$A53,FIND(H$2,Mail!$A53)+LEN(H$2))-FIND(H$2,Mail!$A53)-LEN(H$2)-1)))))</f>
        <v/>
      </c>
      <c r="I55" s="8" t="str">
        <f>TRIM(CLEAN(IF(ISERROR(FIND(I$2,Mail!$A53)),"",MID(Mail!$A53,FIND(I$2,Mail!$A53)+LEN(I$2)+1,IF(ISERROR(FIND("■",Mail!$A53,FIND(I$2,Mail!$A53)+LEN(I$2))-FIND(I$2,Mail!$A53)-LEN(I$2)),LEN(Mail!$A53)-60-FIND(I$2,Mail!$A53)-LEN(I$2),FIND("■",Mail!$A53,FIND(I$2,Mail!$A53)+LEN(I$2))-FIND(I$2,Mail!$A53)-LEN(I$2)-1)))))</f>
        <v/>
      </c>
      <c r="J55" s="8" t="str">
        <f>TRIM(IF(ISERROR(FIND(J$2,Mail!$A53)),"",MID(Mail!$A53,FIND(J$2,Mail!$A53)+LEN(J$2)+1,IF(ISERROR(FIND("■",Mail!$A53,FIND(J$2,Mail!$A53)+LEN(J$2))-FIND(J$2,Mail!$A53)-LEN(J$2)),LEN(Mail!$A53)-60-FIND(J$2,Mail!$A53)-LEN(J$2),FIND("■",Mail!$A53,FIND(J$2,Mail!$A53)+LEN(J$2))-FIND(J$2,Mail!$A53)-LEN(J$2)-1))))</f>
        <v/>
      </c>
      <c r="K55" s="8" t="str">
        <f>TRIM(IF(ISERROR(FIND(K$2,Mail!$A53)),"",MID(Mail!$A53,FIND(K$2,Mail!$A53)+LEN(K$2)+1,IF(ISERROR(FIND("■",Mail!$A53,FIND(K$2,Mail!$A53)+LEN(K$2))-FIND(K$2,Mail!$A53)-LEN(K$2)),LEN(Mail!$A53)-60-FIND(K$2,Mail!$A53)-LEN(K$2),FIND("■",Mail!$A53,FIND(K$2,Mail!$A53)+LEN(K$2))-FIND(K$2,Mail!$A53)-LEN(K$2)-1))))</f>
        <v/>
      </c>
      <c r="L55" s="8" t="str">
        <f>TRIM(IF(ISERROR(FIND(L$2,Mail!$A53)),"",MID(Mail!$A53,FIND(L$2,Mail!$A53)+LEN(L$2)+1,IF(ISERROR(FIND("■",Mail!$A53,FIND(L$2,Mail!$A53)+LEN(L$2))-FIND(L$2,Mail!$A53)-LEN(L$2)),LEN(Mail!$A53)-60-FIND(L$2,Mail!$A53)-LEN(L$2),FIND("■",Mail!$A53,FIND(L$2,Mail!$A53)+LEN(L$2))-FIND(L$2,Mail!$A53)-LEN(L$2)-1))))</f>
        <v/>
      </c>
      <c r="M55" s="8" t="str">
        <f>TRIM(CLEAN(IF(ISERROR(FIND(M$2,Mail!$A53)),"",MID(Mail!$A53,FIND(M$2,Mail!$A53)+LEN(M$2)+1,IF(ISERROR(FIND("■",Mail!$A53,FIND(M$2,Mail!$A53)+LEN(M$2))-FIND(M$2,Mail!$A53)-LEN(M$2)),LEN(Mail!$A53)-60-FIND(M$2,Mail!$A53)-LEN(M$2),FIND("■",Mail!$A53,FIND(M$2,Mail!$A53)+LEN(M$2))-FIND(M$2,Mail!$A53)-LEN(M$2)-1)))))</f>
        <v/>
      </c>
      <c r="N55" s="8" t="str">
        <f>TRIM(CLEAN(IF(ISERROR(FIND(N$2,Mail!$A53)),"",MID(Mail!$A53,FIND(N$2,Mail!$A53)+LEN(N$2)+1,IF(ISERROR(FIND("■",Mail!$A53,FIND(N$2,Mail!$A53)+LEN(N$2))-FIND(N$2,Mail!$A53)-LEN(N$2)),LEN(Mail!$A53)-60-FIND(N$2,Mail!$A53)-LEN(N$2),FIND("■",Mail!$A53,FIND(N$2,Mail!$A53)+LEN(N$2))-FIND(N$2,Mail!$A53)-LEN(N$2)-1)))))</f>
        <v/>
      </c>
      <c r="O55" s="8" t="str">
        <f>TRIM(CLEAN(IF(ISERROR(FIND(O$2,Mail!$A53)),"",MID(Mail!$A53,FIND(O$2,Mail!$A53)+LEN(O$2)+1,IF(ISERROR(FIND("■",Mail!$A53,FIND(O$2,Mail!$A53)+LEN(O$2))-FIND(O$2,Mail!$A53)-LEN(O$2)),LEN(Mail!$A53)-60-FIND(O$2,Mail!$A53)-LEN(O$2),FIND("■",Mail!$A53,FIND(O$2,Mail!$A53)+LEN(O$2))-FIND(O$2,Mail!$A53)-LEN(O$2)-1)))))</f>
        <v/>
      </c>
      <c r="P55" s="8" t="str">
        <f>TRIM(CLEAN(IF(ISERROR(FIND(P$2,Mail!$A53)),"",MID(Mail!$A53,FIND(P$2,Mail!$A53)+LEN(P$2)+1,IF(ISERROR(FIND("■",Mail!$A53,FIND(P$2,Mail!$A53)+LEN(P$2))-FIND(P$2,Mail!$A53)-LEN(P$2)),LEN(Mail!$A53)-60-FIND(P$2,Mail!$A53)-LEN(P$2),FIND("■",Mail!$A53,FIND(P$2,Mail!$A53)+LEN(P$2))-FIND(P$2,Mail!$A53)-LEN(P$2)-1)))))</f>
        <v/>
      </c>
      <c r="Q55" s="8" t="str">
        <f>TRIM(CLEAN(IF(ISERROR(FIND(Q$2,Mail!$A53)),"",MID(Mail!$A53,FIND(Q$2,Mail!$A53)+LEN(Q$2)+1,IF(ISERROR(FIND("■",Mail!$A53,FIND(Q$2,Mail!$A53)+LEN(Q$2))-FIND(Q$2,Mail!$A53)-LEN(Q$2)),LEN(Mail!$A53)-60-FIND(Q$2,Mail!$A53)-LEN(Q$2),FIND("■",Mail!$A53,FIND(Q$2,Mail!$A53)+LEN(Q$2))-FIND(Q$2,Mail!$A53)-LEN(Q$2)-1)))))</f>
        <v/>
      </c>
      <c r="R55" s="8" t="str">
        <f>TRIM(CLEAN(IF(ISERROR(FIND(R$2,Mail!$A53)),"",MID(Mail!$A53,FIND(R$2,Mail!$A53)+LEN(R$2)+1,IF(ISERROR(FIND("■",Mail!$A53,FIND(R$2,Mail!$A53)+LEN(R$2))-FIND(R$2,Mail!$A53)-LEN(R$2)),LEN(Mail!$A53)-60-FIND(R$2,Mail!$A53)-LEN(R$2),FIND("■",Mail!$A53,FIND(R$2,Mail!$A53)+LEN(R$2))-FIND(R$2,Mail!$A53)-LEN(R$2)-1)))))</f>
        <v/>
      </c>
      <c r="S55" s="8" t="str">
        <f>TRIM(CLEAN(IF(ISERROR(FIND(S$2,Mail!$A53)),"",MID(Mail!$A53,FIND(S$2,Mail!$A53)+LEN(S$2)+1,IF(ISERROR(FIND("■",Mail!$A53,FIND(S$2,Mail!$A53)+LEN(S$2))-FIND(S$2,Mail!$A53)-LEN(S$2)),LEN(Mail!$A53)-60-FIND(S$2,Mail!$A53)-LEN(S$2),FIND("■",Mail!$A53,FIND(S$2,Mail!$A53)+LEN(S$2))-FIND(S$2,Mail!$A53)-LEN(S$2)-1)))))</f>
        <v/>
      </c>
      <c r="T55" s="8" t="str">
        <f>TRIM(CLEAN(IF(ISERROR(FIND(T$2,Mail!$A53)),"",MID(Mail!$A53,FIND(T$2,Mail!$A53)+LEN(T$2)+1,IF(ISERROR(FIND("■",Mail!$A53,FIND(T$2,Mail!$A53)+LEN(T$2))-FIND(T$2,Mail!$A53)-LEN(T$2)),LEN(Mail!$A53)-60-FIND(T$2,Mail!$A53)-LEN(T$2),FIND("■",Mail!$A53,FIND(T$2,Mail!$A53)+LEN(T$2))-FIND(T$2,Mail!$A53)-LEN(T$2)-1)))))</f>
        <v/>
      </c>
      <c r="U55" s="8" t="str">
        <f>TRIM(CLEAN(IF(ISERROR(FIND(U$2,Mail!$A53)),"",MID(Mail!$A53,FIND(U$2,Mail!$A53)+LEN(U$2)+1,IF(ISERROR(FIND("■",Mail!$A53,FIND(U$2,Mail!$A53)+LEN(U$2))-FIND(U$2,Mail!$A53)-LEN(U$2)),LEN(Mail!$A53)-60-FIND(U$2,Mail!$A53)-LEN(U$2),FIND("■",Mail!$A53,FIND(U$2,Mail!$A53)+LEN(U$2))-FIND(U$2,Mail!$A53)-LEN(U$2)-1)))))</f>
        <v/>
      </c>
      <c r="V55" s="8" t="str">
        <f>TRIM(CLEAN(IF(ISERROR(FIND(V$2,Mail!$A53)),"",MID(Mail!$A53,FIND(V$2,Mail!$A53)+LEN(V$2)+1,IF(ISERROR(FIND("■",Mail!$A53,FIND(V$2,Mail!$A53)+LEN(V$2))-FIND(V$2,Mail!$A53)-LEN(V$2)),LEN(Mail!$A53)-60-FIND(V$2,Mail!$A53)-LEN(V$2),FIND("■",Mail!$A53,FIND(V$2,Mail!$A53)+LEN(V$2))-FIND(V$2,Mail!$A53)-LEN(V$2)-1)))))</f>
        <v/>
      </c>
      <c r="W55" s="8" t="str">
        <f>TRIM(CLEAN(IF(ISERROR(FIND(W$2,Mail!$A53)),"",MID(Mail!$A53,FIND(W$2,Mail!$A53)+LEN(W$2)+1,IF(ISERROR(FIND("■",Mail!$A53,FIND(W$2,Mail!$A53)+LEN(W$2))-FIND(W$2,Mail!$A53)-LEN(W$2)),LEN(Mail!$A53)-60-FIND(W$2,Mail!$A53)-LEN(W$2),FIND("■",Mail!$A53,FIND(W$2,Mail!$A53)+LEN(W$2))-FIND(W$2,Mail!$A53)-LEN(W$2)-1)))))</f>
        <v/>
      </c>
      <c r="X55" s="8" t="str">
        <f>TRIM(IF(ISERROR(FIND(X$2,Mail!$A53)),"",MID(Mail!$A53,FIND(X$2,Mail!$A53)+LEN(X$2)+1,IF(ISERROR(FIND("■",Mail!$A53,FIND(X$2,Mail!$A53)+LEN(X$2))-FIND(X$2,Mail!$A53)-LEN(X$2)),LEN(Mail!$A53)-60-FIND(X$2,Mail!$A53)-LEN(X$2),FIND("■",Mail!$A53,FIND(X$2,Mail!$A53)+LEN(X$2))-FIND(X$2,Mail!$A53)-LEN(X$2)-1))))</f>
        <v/>
      </c>
      <c r="Y55" s="8" t="str">
        <f>TRIM(CLEAN(IF(ISERROR(FIND(Y$2,Mail!$A53)),"",MID(Mail!$A53,FIND(Y$2,Mail!$A53)+LEN(Y$2)+1,IF(ISERROR(FIND("■",Mail!$A53,FIND(Y$2,Mail!$A53)+LEN(Y$2))-FIND(Y$2,Mail!$A53)-LEN(Y$2)),LEN(Mail!$A53)-60-FIND(Y$2,Mail!$A53)-LEN(Y$2),FIND("■",Mail!$A53,FIND(Y$2,Mail!$A53)+LEN(Y$2))-FIND(Y$2,Mail!$A53)-LEN(Y$2)-1)))))</f>
        <v/>
      </c>
      <c r="Z55" s="8" t="str">
        <f>TRIM(CLEAN(IF(ISERROR(FIND(Z$2,Mail!$A53)),"",MID(Mail!$A53,FIND(Z$2,Mail!$A53)+LEN(Z$2)+1,IF(ISERROR(FIND("■",Mail!$A53,FIND(Z$2,Mail!$A53)+LEN(Z$2))-FIND(Z$2,Mail!$A53)-LEN(Z$2)),LEN(Mail!$A53)-60-FIND(Z$2,Mail!$A53)-LEN(Z$2),FIND("■",Mail!$A53,FIND(Z$2,Mail!$A53)+LEN(Z$2))-FIND(Z$2,Mail!$A53)-LEN(Z$2)-1)))))</f>
        <v/>
      </c>
      <c r="AA55" s="8" t="str">
        <f>TRIM(CLEAN(IF(ISERROR(FIND(AA$2,Mail!$A53)),"",MID(Mail!$A53,FIND(AA$2,Mail!$A53)+LEN(AA$2)+1,IF(ISERROR(FIND("■",Mail!$A53,FIND(AA$2,Mail!$A53)+LEN(AA$2))-FIND(AA$2,Mail!$A53)-LEN(AA$2)),LEN(Mail!$A53)-60-FIND(AA$2,Mail!$A53)-LEN(AA$2),FIND("■",Mail!$A53,FIND(AA$2,Mail!$A53)+LEN(AA$2))-FIND(AA$2,Mail!$A53)-LEN(AA$2)-1)))))</f>
        <v/>
      </c>
      <c r="AB55" s="8" t="str">
        <f>TRIM(CLEAN(IF(ISERROR(FIND(AB$2,Mail!$A53)),"",MID(Mail!$A53,FIND(AB$2,Mail!$A53)+LEN(AB$2)+1,IF(ISERROR(FIND("■",Mail!$A53,FIND(AB$2,Mail!$A53)+LEN(AB$2))-FIND(AB$2,Mail!$A53)-LEN(AB$2)),LEN(Mail!$A53)-60-FIND(AB$2,Mail!$A53)-LEN(AB$2),FIND("■",Mail!$A53,FIND(AB$2,Mail!$A53)+LEN(AB$2))-FIND(AB$2,Mail!$A53)-LEN(AB$2)-1)))))</f>
        <v/>
      </c>
      <c r="AC55" s="8" t="str">
        <f>TRIM(CLEAN(IF(ISERROR(FIND(AC$2,Mail!$A53)),"",MID(Mail!$A53,FIND(AC$2,Mail!$A53)+LEN(AC$2)+1,IF(ISERROR(FIND("■",Mail!$A53,FIND(AC$2,Mail!$A53)+LEN(AC$2))-FIND(AC$2,Mail!$A53)-LEN(AC$2)),LEN(Mail!$A53)-60-FIND(AC$2,Mail!$A53)-LEN(AC$2),FIND("■",Mail!$A53,FIND(AC$2,Mail!$A53)+LEN(AC$2))-FIND(AC$2,Mail!$A53)-LEN(AC$2)-1)))))</f>
        <v/>
      </c>
      <c r="AD55" s="8" t="str">
        <f>TRIM(CLEAN(IF(ISERROR(FIND(AD$2,Mail!$A53)),"",MID(Mail!$A53,FIND(AD$2,Mail!$A53)+LEN(AD$2)+1,IF(ISERROR(FIND("■",Mail!$A53,FIND(AD$2,Mail!$A53)+LEN(AD$2))-FIND(AD$2,Mail!$A53)-LEN(AD$2)),LEN(Mail!$A53)-60-FIND(AD$2,Mail!$A53)-LEN(AD$2),FIND("■",Mail!$A53,FIND(AD$2,Mail!$A53)+LEN(AD$2))-FIND(AD$2,Mail!$A53)-LEN(AD$2)-1)))))</f>
        <v/>
      </c>
      <c r="AE55" s="8" t="str">
        <f>TRIM(CLEAN(IF(ISERROR(FIND(AE$2,Mail!$A53)),"",MID(Mail!$A53,FIND(AE$2,Mail!$A53)+LEN(AE$2)+1,IF(ISERROR(FIND("■",Mail!$A53,FIND(AE$2,Mail!$A53)+LEN(AE$2))-FIND(AE$2,Mail!$A53)-LEN(AE$2)),LEN(Mail!$A53)-60-FIND(AE$2,Mail!$A53)-LEN(AE$2),FIND("■",Mail!$A53,FIND(AE$2,Mail!$A53)+LEN(AE$2))-FIND(AE$2,Mail!$A53)-LEN(AE$2)-1)))))</f>
        <v/>
      </c>
      <c r="AF55" s="8" t="str">
        <f>TRIM(CLEAN(IF(ISERROR(FIND(AF$2,Mail!$A53)),"",MID(Mail!$A53,FIND(AF$2,Mail!$A53)+LEN(AF$2)+1,IF(ISERROR(FIND("■",Mail!$A53,FIND(AF$2,Mail!$A53)+LEN(AF$2))-FIND(AF$2,Mail!$A53)-LEN(AF$2)),LEN(Mail!$A53)-60-FIND(AF$2,Mail!$A53)-LEN(AF$2),FIND("■",Mail!$A53,FIND(AF$2,Mail!$A53)+LEN(AF$2))-FIND(AF$2,Mail!$A53)-LEN(AF$2)-1)))))</f>
        <v/>
      </c>
      <c r="AG55" s="8" t="str">
        <f>TRIM(IF(ISERROR(FIND(AG$2,Mail!$A53)),"",MID(Mail!$A53,FIND(AG$2,Mail!$A53)+LEN(AG$2)+1,IF(ISERROR(FIND("■",Mail!$A53,FIND(AG$2,Mail!$A53)+LEN(AG$2))-FIND(AG$2,Mail!$A53)-LEN(AG$2)),LEN(Mail!$A53)-60-FIND(AG$2,Mail!$A53)-LEN(AG$2),FIND("■",Mail!$A53,FIND(AG$2,Mail!$A53)+LEN(AG$2))-FIND(AG$2,Mail!$A53)-LEN(AG$2)-1))))</f>
        <v/>
      </c>
      <c r="AH55" s="8" t="str">
        <f>TRIM(IF(ISERROR(FIND(AH$2,Mail!$A53)),"",MID(Mail!$A53,FIND(AH$2,Mail!$A53)+LEN(AH$2)+1,IF(ISERROR(FIND("■",Mail!$A53,FIND(AH$2,Mail!$A53)+LEN(AH$2))-FIND(AH$2,Mail!$A53)-LEN(AH$2)),LEN(Mail!$A53)-60-FIND(AH$2,Mail!$A53)-LEN(AH$2),FIND("■",Mail!$A53,FIND(AH$2,Mail!$A53)+LEN(AH$2))-FIND(AH$2,Mail!$A53)-LEN(AH$2)-1))))</f>
        <v/>
      </c>
      <c r="AI55" s="8" t="str">
        <f>TRIM(IF(ISERROR(FIND(AI$2,Mail!$A53)),"",MID(Mail!$A53,FIND(AI$2,Mail!$A53)+LEN(AI$2)+1,IF(ISERROR(FIND("■",Mail!$A53,FIND(AI$2,Mail!$A53)+LEN(AI$2))-FIND(AI$2,Mail!$A53)-LEN(AI$2)),LEN(Mail!$A53)-60-FIND(AI$2,Mail!$A53)-LEN(AI$2),FIND("■",Mail!$A53,FIND(AI$2,Mail!$A53)+LEN(AI$2))-FIND(AI$2,Mail!$A53)-LEN(AI$2)-1))))</f>
        <v/>
      </c>
    </row>
    <row r="56" spans="1:35" s="8" customFormat="1" x14ac:dyDescent="0.15">
      <c r="A56" s="9" t="str">
        <f t="shared" si="1"/>
        <v/>
      </c>
      <c r="B56" s="8" t="str">
        <f>CLEAN(SUBSTITUTE(IF(ISERROR(FIND("yokohama",Mail!$A54)),"",MID(Mail!$A54,FIND("yokohama",Mail!$A54)+LEN("yokohama")+1,FIND("件目",Mail!$A54,FIND("yokohama",Mail!$A54))-(FIND("yokohama",Mail!$A54)+LEN("yokohama")+1)))," ",""))</f>
        <v/>
      </c>
      <c r="C56" s="9" t="str">
        <f t="shared" si="4"/>
        <v/>
      </c>
      <c r="D56" s="9" t="str">
        <f t="shared" si="2"/>
        <v/>
      </c>
      <c r="E56" s="8" t="str">
        <f t="shared" si="3"/>
        <v/>
      </c>
      <c r="F56" s="8" t="str">
        <f>TRIM(CLEAN(IF(ISERROR(FIND(F$2,Mail!$A54)),"",MID(Mail!$A54,FIND(F$2,Mail!$A54)+LEN(F$2)+1,IF(ISERROR(FIND("■",Mail!$A54,FIND(F$2,Mail!$A54)+LEN(F$2))-FIND(F$2,Mail!$A54)-LEN(F$2)),LEN(Mail!$A54)-60-FIND(F$2,Mail!$A54)-LEN(F$2),FIND("■",Mail!$A54,FIND(F$2,Mail!$A54)+LEN(F$2))-FIND(F$2,Mail!$A54)-LEN(F$2)-1)))))</f>
        <v/>
      </c>
      <c r="G56" s="8" t="str">
        <f>TRIM(CLEAN(IF(ISERROR(FIND(G$2,Mail!$A54)),"",MID(Mail!$A54,FIND(G$2,Mail!$A54)+LEN(G$2)+1,IF(ISERROR(FIND("■",Mail!$A54,FIND(G$2,Mail!$A54)+LEN(G$2))-FIND(G$2,Mail!$A54)-LEN(G$2)),LEN(Mail!$A54)-60-FIND(G$2,Mail!$A54)-LEN(G$2),FIND("■",Mail!$A54,FIND(G$2,Mail!$A54)+LEN(G$2))-FIND(G$2,Mail!$A54)-LEN(G$2)-1)))))</f>
        <v/>
      </c>
      <c r="H56" s="8" t="str">
        <f>TRIM(CLEAN(IF(ISERROR(FIND(H$2,Mail!$A54)),"",MID(Mail!$A54,FIND(H$2,Mail!$A54)+LEN(H$2)+1,IF(ISERROR(FIND("■",Mail!$A54,FIND(H$2,Mail!$A54)+LEN(H$2))-FIND(H$2,Mail!$A54)-LEN(H$2)),LEN(Mail!$A54)-60-FIND(H$2,Mail!$A54)-LEN(H$2),FIND("■",Mail!$A54,FIND(H$2,Mail!$A54)+LEN(H$2))-FIND(H$2,Mail!$A54)-LEN(H$2)-1)))))</f>
        <v/>
      </c>
      <c r="I56" s="8" t="str">
        <f>TRIM(CLEAN(IF(ISERROR(FIND(I$2,Mail!$A54)),"",MID(Mail!$A54,FIND(I$2,Mail!$A54)+LEN(I$2)+1,IF(ISERROR(FIND("■",Mail!$A54,FIND(I$2,Mail!$A54)+LEN(I$2))-FIND(I$2,Mail!$A54)-LEN(I$2)),LEN(Mail!$A54)-60-FIND(I$2,Mail!$A54)-LEN(I$2),FIND("■",Mail!$A54,FIND(I$2,Mail!$A54)+LEN(I$2))-FIND(I$2,Mail!$A54)-LEN(I$2)-1)))))</f>
        <v/>
      </c>
      <c r="J56" s="8" t="str">
        <f>TRIM(IF(ISERROR(FIND(J$2,Mail!$A54)),"",MID(Mail!$A54,FIND(J$2,Mail!$A54)+LEN(J$2)+1,IF(ISERROR(FIND("■",Mail!$A54,FIND(J$2,Mail!$A54)+LEN(J$2))-FIND(J$2,Mail!$A54)-LEN(J$2)),LEN(Mail!$A54)-60-FIND(J$2,Mail!$A54)-LEN(J$2),FIND("■",Mail!$A54,FIND(J$2,Mail!$A54)+LEN(J$2))-FIND(J$2,Mail!$A54)-LEN(J$2)-1))))</f>
        <v/>
      </c>
      <c r="K56" s="8" t="str">
        <f>TRIM(IF(ISERROR(FIND(K$2,Mail!$A54)),"",MID(Mail!$A54,FIND(K$2,Mail!$A54)+LEN(K$2)+1,IF(ISERROR(FIND("■",Mail!$A54,FIND(K$2,Mail!$A54)+LEN(K$2))-FIND(K$2,Mail!$A54)-LEN(K$2)),LEN(Mail!$A54)-60-FIND(K$2,Mail!$A54)-LEN(K$2),FIND("■",Mail!$A54,FIND(K$2,Mail!$A54)+LEN(K$2))-FIND(K$2,Mail!$A54)-LEN(K$2)-1))))</f>
        <v/>
      </c>
      <c r="L56" s="8" t="str">
        <f>TRIM(IF(ISERROR(FIND(L$2,Mail!$A54)),"",MID(Mail!$A54,FIND(L$2,Mail!$A54)+LEN(L$2)+1,IF(ISERROR(FIND("■",Mail!$A54,FIND(L$2,Mail!$A54)+LEN(L$2))-FIND(L$2,Mail!$A54)-LEN(L$2)),LEN(Mail!$A54)-60-FIND(L$2,Mail!$A54)-LEN(L$2),FIND("■",Mail!$A54,FIND(L$2,Mail!$A54)+LEN(L$2))-FIND(L$2,Mail!$A54)-LEN(L$2)-1))))</f>
        <v/>
      </c>
      <c r="M56" s="8" t="str">
        <f>TRIM(CLEAN(IF(ISERROR(FIND(M$2,Mail!$A54)),"",MID(Mail!$A54,FIND(M$2,Mail!$A54)+LEN(M$2)+1,IF(ISERROR(FIND("■",Mail!$A54,FIND(M$2,Mail!$A54)+LEN(M$2))-FIND(M$2,Mail!$A54)-LEN(M$2)),LEN(Mail!$A54)-60-FIND(M$2,Mail!$A54)-LEN(M$2),FIND("■",Mail!$A54,FIND(M$2,Mail!$A54)+LEN(M$2))-FIND(M$2,Mail!$A54)-LEN(M$2)-1)))))</f>
        <v/>
      </c>
      <c r="N56" s="8" t="str">
        <f>TRIM(CLEAN(IF(ISERROR(FIND(N$2,Mail!$A54)),"",MID(Mail!$A54,FIND(N$2,Mail!$A54)+LEN(N$2)+1,IF(ISERROR(FIND("■",Mail!$A54,FIND(N$2,Mail!$A54)+LEN(N$2))-FIND(N$2,Mail!$A54)-LEN(N$2)),LEN(Mail!$A54)-60-FIND(N$2,Mail!$A54)-LEN(N$2),FIND("■",Mail!$A54,FIND(N$2,Mail!$A54)+LEN(N$2))-FIND(N$2,Mail!$A54)-LEN(N$2)-1)))))</f>
        <v/>
      </c>
      <c r="O56" s="8" t="str">
        <f>TRIM(CLEAN(IF(ISERROR(FIND(O$2,Mail!$A54)),"",MID(Mail!$A54,FIND(O$2,Mail!$A54)+LEN(O$2)+1,IF(ISERROR(FIND("■",Mail!$A54,FIND(O$2,Mail!$A54)+LEN(O$2))-FIND(O$2,Mail!$A54)-LEN(O$2)),LEN(Mail!$A54)-60-FIND(O$2,Mail!$A54)-LEN(O$2),FIND("■",Mail!$A54,FIND(O$2,Mail!$A54)+LEN(O$2))-FIND(O$2,Mail!$A54)-LEN(O$2)-1)))))</f>
        <v/>
      </c>
      <c r="P56" s="8" t="str">
        <f>TRIM(CLEAN(IF(ISERROR(FIND(P$2,Mail!$A54)),"",MID(Mail!$A54,FIND(P$2,Mail!$A54)+LEN(P$2)+1,IF(ISERROR(FIND("■",Mail!$A54,FIND(P$2,Mail!$A54)+LEN(P$2))-FIND(P$2,Mail!$A54)-LEN(P$2)),LEN(Mail!$A54)-60-FIND(P$2,Mail!$A54)-LEN(P$2),FIND("■",Mail!$A54,FIND(P$2,Mail!$A54)+LEN(P$2))-FIND(P$2,Mail!$A54)-LEN(P$2)-1)))))</f>
        <v/>
      </c>
      <c r="Q56" s="8" t="str">
        <f>TRIM(CLEAN(IF(ISERROR(FIND(Q$2,Mail!$A54)),"",MID(Mail!$A54,FIND(Q$2,Mail!$A54)+LEN(Q$2)+1,IF(ISERROR(FIND("■",Mail!$A54,FIND(Q$2,Mail!$A54)+LEN(Q$2))-FIND(Q$2,Mail!$A54)-LEN(Q$2)),LEN(Mail!$A54)-60-FIND(Q$2,Mail!$A54)-LEN(Q$2),FIND("■",Mail!$A54,FIND(Q$2,Mail!$A54)+LEN(Q$2))-FIND(Q$2,Mail!$A54)-LEN(Q$2)-1)))))</f>
        <v/>
      </c>
      <c r="R56" s="8" t="str">
        <f>TRIM(CLEAN(IF(ISERROR(FIND(R$2,Mail!$A54)),"",MID(Mail!$A54,FIND(R$2,Mail!$A54)+LEN(R$2)+1,IF(ISERROR(FIND("■",Mail!$A54,FIND(R$2,Mail!$A54)+LEN(R$2))-FIND(R$2,Mail!$A54)-LEN(R$2)),LEN(Mail!$A54)-60-FIND(R$2,Mail!$A54)-LEN(R$2),FIND("■",Mail!$A54,FIND(R$2,Mail!$A54)+LEN(R$2))-FIND(R$2,Mail!$A54)-LEN(R$2)-1)))))</f>
        <v/>
      </c>
      <c r="S56" s="8" t="str">
        <f>TRIM(CLEAN(IF(ISERROR(FIND(S$2,Mail!$A54)),"",MID(Mail!$A54,FIND(S$2,Mail!$A54)+LEN(S$2)+1,IF(ISERROR(FIND("■",Mail!$A54,FIND(S$2,Mail!$A54)+LEN(S$2))-FIND(S$2,Mail!$A54)-LEN(S$2)),LEN(Mail!$A54)-60-FIND(S$2,Mail!$A54)-LEN(S$2),FIND("■",Mail!$A54,FIND(S$2,Mail!$A54)+LEN(S$2))-FIND(S$2,Mail!$A54)-LEN(S$2)-1)))))</f>
        <v/>
      </c>
      <c r="T56" s="8" t="str">
        <f>TRIM(CLEAN(IF(ISERROR(FIND(T$2,Mail!$A54)),"",MID(Mail!$A54,FIND(T$2,Mail!$A54)+LEN(T$2)+1,IF(ISERROR(FIND("■",Mail!$A54,FIND(T$2,Mail!$A54)+LEN(T$2))-FIND(T$2,Mail!$A54)-LEN(T$2)),LEN(Mail!$A54)-60-FIND(T$2,Mail!$A54)-LEN(T$2),FIND("■",Mail!$A54,FIND(T$2,Mail!$A54)+LEN(T$2))-FIND(T$2,Mail!$A54)-LEN(T$2)-1)))))</f>
        <v/>
      </c>
      <c r="U56" s="8" t="str">
        <f>TRIM(CLEAN(IF(ISERROR(FIND(U$2,Mail!$A54)),"",MID(Mail!$A54,FIND(U$2,Mail!$A54)+LEN(U$2)+1,IF(ISERROR(FIND("■",Mail!$A54,FIND(U$2,Mail!$A54)+LEN(U$2))-FIND(U$2,Mail!$A54)-LEN(U$2)),LEN(Mail!$A54)-60-FIND(U$2,Mail!$A54)-LEN(U$2),FIND("■",Mail!$A54,FIND(U$2,Mail!$A54)+LEN(U$2))-FIND(U$2,Mail!$A54)-LEN(U$2)-1)))))</f>
        <v/>
      </c>
      <c r="V56" s="8" t="str">
        <f>TRIM(CLEAN(IF(ISERROR(FIND(V$2,Mail!$A54)),"",MID(Mail!$A54,FIND(V$2,Mail!$A54)+LEN(V$2)+1,IF(ISERROR(FIND("■",Mail!$A54,FIND(V$2,Mail!$A54)+LEN(V$2))-FIND(V$2,Mail!$A54)-LEN(V$2)),LEN(Mail!$A54)-60-FIND(V$2,Mail!$A54)-LEN(V$2),FIND("■",Mail!$A54,FIND(V$2,Mail!$A54)+LEN(V$2))-FIND(V$2,Mail!$A54)-LEN(V$2)-1)))))</f>
        <v/>
      </c>
      <c r="W56" s="8" t="str">
        <f>TRIM(CLEAN(IF(ISERROR(FIND(W$2,Mail!$A54)),"",MID(Mail!$A54,FIND(W$2,Mail!$A54)+LEN(W$2)+1,IF(ISERROR(FIND("■",Mail!$A54,FIND(W$2,Mail!$A54)+LEN(W$2))-FIND(W$2,Mail!$A54)-LEN(W$2)),LEN(Mail!$A54)-60-FIND(W$2,Mail!$A54)-LEN(W$2),FIND("■",Mail!$A54,FIND(W$2,Mail!$A54)+LEN(W$2))-FIND(W$2,Mail!$A54)-LEN(W$2)-1)))))</f>
        <v/>
      </c>
      <c r="X56" s="8" t="str">
        <f>TRIM(IF(ISERROR(FIND(X$2,Mail!$A54)),"",MID(Mail!$A54,FIND(X$2,Mail!$A54)+LEN(X$2)+1,IF(ISERROR(FIND("■",Mail!$A54,FIND(X$2,Mail!$A54)+LEN(X$2))-FIND(X$2,Mail!$A54)-LEN(X$2)),LEN(Mail!$A54)-60-FIND(X$2,Mail!$A54)-LEN(X$2),FIND("■",Mail!$A54,FIND(X$2,Mail!$A54)+LEN(X$2))-FIND(X$2,Mail!$A54)-LEN(X$2)-1))))</f>
        <v/>
      </c>
      <c r="Y56" s="8" t="str">
        <f>TRIM(CLEAN(IF(ISERROR(FIND(Y$2,Mail!$A54)),"",MID(Mail!$A54,FIND(Y$2,Mail!$A54)+LEN(Y$2)+1,IF(ISERROR(FIND("■",Mail!$A54,FIND(Y$2,Mail!$A54)+LEN(Y$2))-FIND(Y$2,Mail!$A54)-LEN(Y$2)),LEN(Mail!$A54)-60-FIND(Y$2,Mail!$A54)-LEN(Y$2),FIND("■",Mail!$A54,FIND(Y$2,Mail!$A54)+LEN(Y$2))-FIND(Y$2,Mail!$A54)-LEN(Y$2)-1)))))</f>
        <v/>
      </c>
      <c r="Z56" s="8" t="str">
        <f>TRIM(CLEAN(IF(ISERROR(FIND(Z$2,Mail!$A54)),"",MID(Mail!$A54,FIND(Z$2,Mail!$A54)+LEN(Z$2)+1,IF(ISERROR(FIND("■",Mail!$A54,FIND(Z$2,Mail!$A54)+LEN(Z$2))-FIND(Z$2,Mail!$A54)-LEN(Z$2)),LEN(Mail!$A54)-60-FIND(Z$2,Mail!$A54)-LEN(Z$2),FIND("■",Mail!$A54,FIND(Z$2,Mail!$A54)+LEN(Z$2))-FIND(Z$2,Mail!$A54)-LEN(Z$2)-1)))))</f>
        <v/>
      </c>
      <c r="AA56" s="8" t="str">
        <f>TRIM(CLEAN(IF(ISERROR(FIND(AA$2,Mail!$A54)),"",MID(Mail!$A54,FIND(AA$2,Mail!$A54)+LEN(AA$2)+1,IF(ISERROR(FIND("■",Mail!$A54,FIND(AA$2,Mail!$A54)+LEN(AA$2))-FIND(AA$2,Mail!$A54)-LEN(AA$2)),LEN(Mail!$A54)-60-FIND(AA$2,Mail!$A54)-LEN(AA$2),FIND("■",Mail!$A54,FIND(AA$2,Mail!$A54)+LEN(AA$2))-FIND(AA$2,Mail!$A54)-LEN(AA$2)-1)))))</f>
        <v/>
      </c>
      <c r="AB56" s="8" t="str">
        <f>TRIM(CLEAN(IF(ISERROR(FIND(AB$2,Mail!$A54)),"",MID(Mail!$A54,FIND(AB$2,Mail!$A54)+LEN(AB$2)+1,IF(ISERROR(FIND("■",Mail!$A54,FIND(AB$2,Mail!$A54)+LEN(AB$2))-FIND(AB$2,Mail!$A54)-LEN(AB$2)),LEN(Mail!$A54)-60-FIND(AB$2,Mail!$A54)-LEN(AB$2),FIND("■",Mail!$A54,FIND(AB$2,Mail!$A54)+LEN(AB$2))-FIND(AB$2,Mail!$A54)-LEN(AB$2)-1)))))</f>
        <v/>
      </c>
      <c r="AC56" s="8" t="str">
        <f>TRIM(CLEAN(IF(ISERROR(FIND(AC$2,Mail!$A54)),"",MID(Mail!$A54,FIND(AC$2,Mail!$A54)+LEN(AC$2)+1,IF(ISERROR(FIND("■",Mail!$A54,FIND(AC$2,Mail!$A54)+LEN(AC$2))-FIND(AC$2,Mail!$A54)-LEN(AC$2)),LEN(Mail!$A54)-60-FIND(AC$2,Mail!$A54)-LEN(AC$2),FIND("■",Mail!$A54,FIND(AC$2,Mail!$A54)+LEN(AC$2))-FIND(AC$2,Mail!$A54)-LEN(AC$2)-1)))))</f>
        <v/>
      </c>
      <c r="AD56" s="8" t="str">
        <f>TRIM(CLEAN(IF(ISERROR(FIND(AD$2,Mail!$A54)),"",MID(Mail!$A54,FIND(AD$2,Mail!$A54)+LEN(AD$2)+1,IF(ISERROR(FIND("■",Mail!$A54,FIND(AD$2,Mail!$A54)+LEN(AD$2))-FIND(AD$2,Mail!$A54)-LEN(AD$2)),LEN(Mail!$A54)-60-FIND(AD$2,Mail!$A54)-LEN(AD$2),FIND("■",Mail!$A54,FIND(AD$2,Mail!$A54)+LEN(AD$2))-FIND(AD$2,Mail!$A54)-LEN(AD$2)-1)))))</f>
        <v/>
      </c>
      <c r="AE56" s="8" t="str">
        <f>TRIM(CLEAN(IF(ISERROR(FIND(AE$2,Mail!$A54)),"",MID(Mail!$A54,FIND(AE$2,Mail!$A54)+LEN(AE$2)+1,IF(ISERROR(FIND("■",Mail!$A54,FIND(AE$2,Mail!$A54)+LEN(AE$2))-FIND(AE$2,Mail!$A54)-LEN(AE$2)),LEN(Mail!$A54)-60-FIND(AE$2,Mail!$A54)-LEN(AE$2),FIND("■",Mail!$A54,FIND(AE$2,Mail!$A54)+LEN(AE$2))-FIND(AE$2,Mail!$A54)-LEN(AE$2)-1)))))</f>
        <v/>
      </c>
      <c r="AF56" s="8" t="str">
        <f>TRIM(CLEAN(IF(ISERROR(FIND(AF$2,Mail!$A54)),"",MID(Mail!$A54,FIND(AF$2,Mail!$A54)+LEN(AF$2)+1,IF(ISERROR(FIND("■",Mail!$A54,FIND(AF$2,Mail!$A54)+LEN(AF$2))-FIND(AF$2,Mail!$A54)-LEN(AF$2)),LEN(Mail!$A54)-60-FIND(AF$2,Mail!$A54)-LEN(AF$2),FIND("■",Mail!$A54,FIND(AF$2,Mail!$A54)+LEN(AF$2))-FIND(AF$2,Mail!$A54)-LEN(AF$2)-1)))))</f>
        <v/>
      </c>
      <c r="AG56" s="8" t="str">
        <f>TRIM(IF(ISERROR(FIND(AG$2,Mail!$A54)),"",MID(Mail!$A54,FIND(AG$2,Mail!$A54)+LEN(AG$2)+1,IF(ISERROR(FIND("■",Mail!$A54,FIND(AG$2,Mail!$A54)+LEN(AG$2))-FIND(AG$2,Mail!$A54)-LEN(AG$2)),LEN(Mail!$A54)-60-FIND(AG$2,Mail!$A54)-LEN(AG$2),FIND("■",Mail!$A54,FIND(AG$2,Mail!$A54)+LEN(AG$2))-FIND(AG$2,Mail!$A54)-LEN(AG$2)-1))))</f>
        <v/>
      </c>
      <c r="AH56" s="8" t="str">
        <f>TRIM(IF(ISERROR(FIND(AH$2,Mail!$A54)),"",MID(Mail!$A54,FIND(AH$2,Mail!$A54)+LEN(AH$2)+1,IF(ISERROR(FIND("■",Mail!$A54,FIND(AH$2,Mail!$A54)+LEN(AH$2))-FIND(AH$2,Mail!$A54)-LEN(AH$2)),LEN(Mail!$A54)-60-FIND(AH$2,Mail!$A54)-LEN(AH$2),FIND("■",Mail!$A54,FIND(AH$2,Mail!$A54)+LEN(AH$2))-FIND(AH$2,Mail!$A54)-LEN(AH$2)-1))))</f>
        <v/>
      </c>
      <c r="AI56" s="8" t="str">
        <f>TRIM(IF(ISERROR(FIND(AI$2,Mail!$A54)),"",MID(Mail!$A54,FIND(AI$2,Mail!$A54)+LEN(AI$2)+1,IF(ISERROR(FIND("■",Mail!$A54,FIND(AI$2,Mail!$A54)+LEN(AI$2))-FIND(AI$2,Mail!$A54)-LEN(AI$2)),LEN(Mail!$A54)-60-FIND(AI$2,Mail!$A54)-LEN(AI$2),FIND("■",Mail!$A54,FIND(AI$2,Mail!$A54)+LEN(AI$2))-FIND(AI$2,Mail!$A54)-LEN(AI$2)-1))))</f>
        <v/>
      </c>
    </row>
    <row r="57" spans="1:35" s="8" customFormat="1" x14ac:dyDescent="0.15">
      <c r="A57" s="9" t="str">
        <f t="shared" si="1"/>
        <v/>
      </c>
      <c r="B57" s="8" t="str">
        <f>CLEAN(SUBSTITUTE(IF(ISERROR(FIND("yokohama",Mail!$A55)),"",MID(Mail!$A55,FIND("yokohama",Mail!$A55)+LEN("yokohama")+1,FIND("件目",Mail!$A55,FIND("yokohama",Mail!$A55))-(FIND("yokohama",Mail!$A55)+LEN("yokohama")+1)))," ",""))</f>
        <v/>
      </c>
      <c r="C57" s="9" t="str">
        <f t="shared" si="4"/>
        <v/>
      </c>
      <c r="D57" s="9" t="str">
        <f t="shared" si="2"/>
        <v/>
      </c>
      <c r="E57" s="8" t="str">
        <f t="shared" si="3"/>
        <v/>
      </c>
      <c r="F57" s="8" t="str">
        <f>TRIM(CLEAN(IF(ISERROR(FIND(F$2,Mail!$A55)),"",MID(Mail!$A55,FIND(F$2,Mail!$A55)+LEN(F$2)+1,IF(ISERROR(FIND("■",Mail!$A55,FIND(F$2,Mail!$A55)+LEN(F$2))-FIND(F$2,Mail!$A55)-LEN(F$2)),LEN(Mail!$A55)-60-FIND(F$2,Mail!$A55)-LEN(F$2),FIND("■",Mail!$A55,FIND(F$2,Mail!$A55)+LEN(F$2))-FIND(F$2,Mail!$A55)-LEN(F$2)-1)))))</f>
        <v/>
      </c>
      <c r="G57" s="8" t="str">
        <f>TRIM(CLEAN(IF(ISERROR(FIND(G$2,Mail!$A55)),"",MID(Mail!$A55,FIND(G$2,Mail!$A55)+LEN(G$2)+1,IF(ISERROR(FIND("■",Mail!$A55,FIND(G$2,Mail!$A55)+LEN(G$2))-FIND(G$2,Mail!$A55)-LEN(G$2)),LEN(Mail!$A55)-60-FIND(G$2,Mail!$A55)-LEN(G$2),FIND("■",Mail!$A55,FIND(G$2,Mail!$A55)+LEN(G$2))-FIND(G$2,Mail!$A55)-LEN(G$2)-1)))))</f>
        <v/>
      </c>
      <c r="H57" s="8" t="str">
        <f>TRIM(CLEAN(IF(ISERROR(FIND(H$2,Mail!$A55)),"",MID(Mail!$A55,FIND(H$2,Mail!$A55)+LEN(H$2)+1,IF(ISERROR(FIND("■",Mail!$A55,FIND(H$2,Mail!$A55)+LEN(H$2))-FIND(H$2,Mail!$A55)-LEN(H$2)),LEN(Mail!$A55)-60-FIND(H$2,Mail!$A55)-LEN(H$2),FIND("■",Mail!$A55,FIND(H$2,Mail!$A55)+LEN(H$2))-FIND(H$2,Mail!$A55)-LEN(H$2)-1)))))</f>
        <v/>
      </c>
      <c r="I57" s="8" t="str">
        <f>TRIM(CLEAN(IF(ISERROR(FIND(I$2,Mail!$A55)),"",MID(Mail!$A55,FIND(I$2,Mail!$A55)+LEN(I$2)+1,IF(ISERROR(FIND("■",Mail!$A55,FIND(I$2,Mail!$A55)+LEN(I$2))-FIND(I$2,Mail!$A55)-LEN(I$2)),LEN(Mail!$A55)-60-FIND(I$2,Mail!$A55)-LEN(I$2),FIND("■",Mail!$A55,FIND(I$2,Mail!$A55)+LEN(I$2))-FIND(I$2,Mail!$A55)-LEN(I$2)-1)))))</f>
        <v/>
      </c>
      <c r="J57" s="8" t="str">
        <f>TRIM(IF(ISERROR(FIND(J$2,Mail!$A55)),"",MID(Mail!$A55,FIND(J$2,Mail!$A55)+LEN(J$2)+1,IF(ISERROR(FIND("■",Mail!$A55,FIND(J$2,Mail!$A55)+LEN(J$2))-FIND(J$2,Mail!$A55)-LEN(J$2)),LEN(Mail!$A55)-60-FIND(J$2,Mail!$A55)-LEN(J$2),FIND("■",Mail!$A55,FIND(J$2,Mail!$A55)+LEN(J$2))-FIND(J$2,Mail!$A55)-LEN(J$2)-1))))</f>
        <v/>
      </c>
      <c r="K57" s="8" t="str">
        <f>TRIM(IF(ISERROR(FIND(K$2,Mail!$A55)),"",MID(Mail!$A55,FIND(K$2,Mail!$A55)+LEN(K$2)+1,IF(ISERROR(FIND("■",Mail!$A55,FIND(K$2,Mail!$A55)+LEN(K$2))-FIND(K$2,Mail!$A55)-LEN(K$2)),LEN(Mail!$A55)-60-FIND(K$2,Mail!$A55)-LEN(K$2),FIND("■",Mail!$A55,FIND(K$2,Mail!$A55)+LEN(K$2))-FIND(K$2,Mail!$A55)-LEN(K$2)-1))))</f>
        <v/>
      </c>
      <c r="L57" s="8" t="str">
        <f>TRIM(IF(ISERROR(FIND(L$2,Mail!$A55)),"",MID(Mail!$A55,FIND(L$2,Mail!$A55)+LEN(L$2)+1,IF(ISERROR(FIND("■",Mail!$A55,FIND(L$2,Mail!$A55)+LEN(L$2))-FIND(L$2,Mail!$A55)-LEN(L$2)),LEN(Mail!$A55)-60-FIND(L$2,Mail!$A55)-LEN(L$2),FIND("■",Mail!$A55,FIND(L$2,Mail!$A55)+LEN(L$2))-FIND(L$2,Mail!$A55)-LEN(L$2)-1))))</f>
        <v/>
      </c>
      <c r="M57" s="8" t="str">
        <f>TRIM(CLEAN(IF(ISERROR(FIND(M$2,Mail!$A55)),"",MID(Mail!$A55,FIND(M$2,Mail!$A55)+LEN(M$2)+1,IF(ISERROR(FIND("■",Mail!$A55,FIND(M$2,Mail!$A55)+LEN(M$2))-FIND(M$2,Mail!$A55)-LEN(M$2)),LEN(Mail!$A55)-60-FIND(M$2,Mail!$A55)-LEN(M$2),FIND("■",Mail!$A55,FIND(M$2,Mail!$A55)+LEN(M$2))-FIND(M$2,Mail!$A55)-LEN(M$2)-1)))))</f>
        <v/>
      </c>
      <c r="N57" s="8" t="str">
        <f>TRIM(CLEAN(IF(ISERROR(FIND(N$2,Mail!$A55)),"",MID(Mail!$A55,FIND(N$2,Mail!$A55)+LEN(N$2)+1,IF(ISERROR(FIND("■",Mail!$A55,FIND(N$2,Mail!$A55)+LEN(N$2))-FIND(N$2,Mail!$A55)-LEN(N$2)),LEN(Mail!$A55)-60-FIND(N$2,Mail!$A55)-LEN(N$2),FIND("■",Mail!$A55,FIND(N$2,Mail!$A55)+LEN(N$2))-FIND(N$2,Mail!$A55)-LEN(N$2)-1)))))</f>
        <v/>
      </c>
      <c r="O57" s="8" t="str">
        <f>TRIM(CLEAN(IF(ISERROR(FIND(O$2,Mail!$A55)),"",MID(Mail!$A55,FIND(O$2,Mail!$A55)+LEN(O$2)+1,IF(ISERROR(FIND("■",Mail!$A55,FIND(O$2,Mail!$A55)+LEN(O$2))-FIND(O$2,Mail!$A55)-LEN(O$2)),LEN(Mail!$A55)-60-FIND(O$2,Mail!$A55)-LEN(O$2),FIND("■",Mail!$A55,FIND(O$2,Mail!$A55)+LEN(O$2))-FIND(O$2,Mail!$A55)-LEN(O$2)-1)))))</f>
        <v/>
      </c>
      <c r="P57" s="8" t="str">
        <f>TRIM(CLEAN(IF(ISERROR(FIND(P$2,Mail!$A55)),"",MID(Mail!$A55,FIND(P$2,Mail!$A55)+LEN(P$2)+1,IF(ISERROR(FIND("■",Mail!$A55,FIND(P$2,Mail!$A55)+LEN(P$2))-FIND(P$2,Mail!$A55)-LEN(P$2)),LEN(Mail!$A55)-60-FIND(P$2,Mail!$A55)-LEN(P$2),FIND("■",Mail!$A55,FIND(P$2,Mail!$A55)+LEN(P$2))-FIND(P$2,Mail!$A55)-LEN(P$2)-1)))))</f>
        <v/>
      </c>
      <c r="Q57" s="8" t="str">
        <f>TRIM(CLEAN(IF(ISERROR(FIND(Q$2,Mail!$A55)),"",MID(Mail!$A55,FIND(Q$2,Mail!$A55)+LEN(Q$2)+1,IF(ISERROR(FIND("■",Mail!$A55,FIND(Q$2,Mail!$A55)+LEN(Q$2))-FIND(Q$2,Mail!$A55)-LEN(Q$2)),LEN(Mail!$A55)-60-FIND(Q$2,Mail!$A55)-LEN(Q$2),FIND("■",Mail!$A55,FIND(Q$2,Mail!$A55)+LEN(Q$2))-FIND(Q$2,Mail!$A55)-LEN(Q$2)-1)))))</f>
        <v/>
      </c>
      <c r="R57" s="8" t="str">
        <f>TRIM(CLEAN(IF(ISERROR(FIND(R$2,Mail!$A55)),"",MID(Mail!$A55,FIND(R$2,Mail!$A55)+LEN(R$2)+1,IF(ISERROR(FIND("■",Mail!$A55,FIND(R$2,Mail!$A55)+LEN(R$2))-FIND(R$2,Mail!$A55)-LEN(R$2)),LEN(Mail!$A55)-60-FIND(R$2,Mail!$A55)-LEN(R$2),FIND("■",Mail!$A55,FIND(R$2,Mail!$A55)+LEN(R$2))-FIND(R$2,Mail!$A55)-LEN(R$2)-1)))))</f>
        <v/>
      </c>
      <c r="S57" s="8" t="str">
        <f>TRIM(CLEAN(IF(ISERROR(FIND(S$2,Mail!$A55)),"",MID(Mail!$A55,FIND(S$2,Mail!$A55)+LEN(S$2)+1,IF(ISERROR(FIND("■",Mail!$A55,FIND(S$2,Mail!$A55)+LEN(S$2))-FIND(S$2,Mail!$A55)-LEN(S$2)),LEN(Mail!$A55)-60-FIND(S$2,Mail!$A55)-LEN(S$2),FIND("■",Mail!$A55,FIND(S$2,Mail!$A55)+LEN(S$2))-FIND(S$2,Mail!$A55)-LEN(S$2)-1)))))</f>
        <v/>
      </c>
      <c r="T57" s="8" t="str">
        <f>TRIM(CLEAN(IF(ISERROR(FIND(T$2,Mail!$A55)),"",MID(Mail!$A55,FIND(T$2,Mail!$A55)+LEN(T$2)+1,IF(ISERROR(FIND("■",Mail!$A55,FIND(T$2,Mail!$A55)+LEN(T$2))-FIND(T$2,Mail!$A55)-LEN(T$2)),LEN(Mail!$A55)-60-FIND(T$2,Mail!$A55)-LEN(T$2),FIND("■",Mail!$A55,FIND(T$2,Mail!$A55)+LEN(T$2))-FIND(T$2,Mail!$A55)-LEN(T$2)-1)))))</f>
        <v/>
      </c>
      <c r="U57" s="8" t="str">
        <f>TRIM(CLEAN(IF(ISERROR(FIND(U$2,Mail!$A55)),"",MID(Mail!$A55,FIND(U$2,Mail!$A55)+LEN(U$2)+1,IF(ISERROR(FIND("■",Mail!$A55,FIND(U$2,Mail!$A55)+LEN(U$2))-FIND(U$2,Mail!$A55)-LEN(U$2)),LEN(Mail!$A55)-60-FIND(U$2,Mail!$A55)-LEN(U$2),FIND("■",Mail!$A55,FIND(U$2,Mail!$A55)+LEN(U$2))-FIND(U$2,Mail!$A55)-LEN(U$2)-1)))))</f>
        <v/>
      </c>
      <c r="V57" s="8" t="str">
        <f>TRIM(CLEAN(IF(ISERROR(FIND(V$2,Mail!$A55)),"",MID(Mail!$A55,FIND(V$2,Mail!$A55)+LEN(V$2)+1,IF(ISERROR(FIND("■",Mail!$A55,FIND(V$2,Mail!$A55)+LEN(V$2))-FIND(V$2,Mail!$A55)-LEN(V$2)),LEN(Mail!$A55)-60-FIND(V$2,Mail!$A55)-LEN(V$2),FIND("■",Mail!$A55,FIND(V$2,Mail!$A55)+LEN(V$2))-FIND(V$2,Mail!$A55)-LEN(V$2)-1)))))</f>
        <v/>
      </c>
      <c r="W57" s="8" t="str">
        <f>TRIM(CLEAN(IF(ISERROR(FIND(W$2,Mail!$A55)),"",MID(Mail!$A55,FIND(W$2,Mail!$A55)+LEN(W$2)+1,IF(ISERROR(FIND("■",Mail!$A55,FIND(W$2,Mail!$A55)+LEN(W$2))-FIND(W$2,Mail!$A55)-LEN(W$2)),LEN(Mail!$A55)-60-FIND(W$2,Mail!$A55)-LEN(W$2),FIND("■",Mail!$A55,FIND(W$2,Mail!$A55)+LEN(W$2))-FIND(W$2,Mail!$A55)-LEN(W$2)-1)))))</f>
        <v/>
      </c>
      <c r="X57" s="8" t="str">
        <f>TRIM(IF(ISERROR(FIND(X$2,Mail!$A55)),"",MID(Mail!$A55,FIND(X$2,Mail!$A55)+LEN(X$2)+1,IF(ISERROR(FIND("■",Mail!$A55,FIND(X$2,Mail!$A55)+LEN(X$2))-FIND(X$2,Mail!$A55)-LEN(X$2)),LEN(Mail!$A55)-60-FIND(X$2,Mail!$A55)-LEN(X$2),FIND("■",Mail!$A55,FIND(X$2,Mail!$A55)+LEN(X$2))-FIND(X$2,Mail!$A55)-LEN(X$2)-1))))</f>
        <v/>
      </c>
      <c r="Y57" s="8" t="str">
        <f>TRIM(CLEAN(IF(ISERROR(FIND(Y$2,Mail!$A55)),"",MID(Mail!$A55,FIND(Y$2,Mail!$A55)+LEN(Y$2)+1,IF(ISERROR(FIND("■",Mail!$A55,FIND(Y$2,Mail!$A55)+LEN(Y$2))-FIND(Y$2,Mail!$A55)-LEN(Y$2)),LEN(Mail!$A55)-60-FIND(Y$2,Mail!$A55)-LEN(Y$2),FIND("■",Mail!$A55,FIND(Y$2,Mail!$A55)+LEN(Y$2))-FIND(Y$2,Mail!$A55)-LEN(Y$2)-1)))))</f>
        <v/>
      </c>
      <c r="Z57" s="8" t="str">
        <f>TRIM(CLEAN(IF(ISERROR(FIND(Z$2,Mail!$A55)),"",MID(Mail!$A55,FIND(Z$2,Mail!$A55)+LEN(Z$2)+1,IF(ISERROR(FIND("■",Mail!$A55,FIND(Z$2,Mail!$A55)+LEN(Z$2))-FIND(Z$2,Mail!$A55)-LEN(Z$2)),LEN(Mail!$A55)-60-FIND(Z$2,Mail!$A55)-LEN(Z$2),FIND("■",Mail!$A55,FIND(Z$2,Mail!$A55)+LEN(Z$2))-FIND(Z$2,Mail!$A55)-LEN(Z$2)-1)))))</f>
        <v/>
      </c>
      <c r="AA57" s="8" t="str">
        <f>TRIM(CLEAN(IF(ISERROR(FIND(AA$2,Mail!$A55)),"",MID(Mail!$A55,FIND(AA$2,Mail!$A55)+LEN(AA$2)+1,IF(ISERROR(FIND("■",Mail!$A55,FIND(AA$2,Mail!$A55)+LEN(AA$2))-FIND(AA$2,Mail!$A55)-LEN(AA$2)),LEN(Mail!$A55)-60-FIND(AA$2,Mail!$A55)-LEN(AA$2),FIND("■",Mail!$A55,FIND(AA$2,Mail!$A55)+LEN(AA$2))-FIND(AA$2,Mail!$A55)-LEN(AA$2)-1)))))</f>
        <v/>
      </c>
      <c r="AB57" s="8" t="str">
        <f>TRIM(CLEAN(IF(ISERROR(FIND(AB$2,Mail!$A55)),"",MID(Mail!$A55,FIND(AB$2,Mail!$A55)+LEN(AB$2)+1,IF(ISERROR(FIND("■",Mail!$A55,FIND(AB$2,Mail!$A55)+LEN(AB$2))-FIND(AB$2,Mail!$A55)-LEN(AB$2)),LEN(Mail!$A55)-60-FIND(AB$2,Mail!$A55)-LEN(AB$2),FIND("■",Mail!$A55,FIND(AB$2,Mail!$A55)+LEN(AB$2))-FIND(AB$2,Mail!$A55)-LEN(AB$2)-1)))))</f>
        <v/>
      </c>
      <c r="AC57" s="8" t="str">
        <f>TRIM(CLEAN(IF(ISERROR(FIND(AC$2,Mail!$A55)),"",MID(Mail!$A55,FIND(AC$2,Mail!$A55)+LEN(AC$2)+1,IF(ISERROR(FIND("■",Mail!$A55,FIND(AC$2,Mail!$A55)+LEN(AC$2))-FIND(AC$2,Mail!$A55)-LEN(AC$2)),LEN(Mail!$A55)-60-FIND(AC$2,Mail!$A55)-LEN(AC$2),FIND("■",Mail!$A55,FIND(AC$2,Mail!$A55)+LEN(AC$2))-FIND(AC$2,Mail!$A55)-LEN(AC$2)-1)))))</f>
        <v/>
      </c>
      <c r="AD57" s="8" t="str">
        <f>TRIM(CLEAN(IF(ISERROR(FIND(AD$2,Mail!$A55)),"",MID(Mail!$A55,FIND(AD$2,Mail!$A55)+LEN(AD$2)+1,IF(ISERROR(FIND("■",Mail!$A55,FIND(AD$2,Mail!$A55)+LEN(AD$2))-FIND(AD$2,Mail!$A55)-LEN(AD$2)),LEN(Mail!$A55)-60-FIND(AD$2,Mail!$A55)-LEN(AD$2),FIND("■",Mail!$A55,FIND(AD$2,Mail!$A55)+LEN(AD$2))-FIND(AD$2,Mail!$A55)-LEN(AD$2)-1)))))</f>
        <v/>
      </c>
      <c r="AE57" s="8" t="str">
        <f>TRIM(CLEAN(IF(ISERROR(FIND(AE$2,Mail!$A55)),"",MID(Mail!$A55,FIND(AE$2,Mail!$A55)+LEN(AE$2)+1,IF(ISERROR(FIND("■",Mail!$A55,FIND(AE$2,Mail!$A55)+LEN(AE$2))-FIND(AE$2,Mail!$A55)-LEN(AE$2)),LEN(Mail!$A55)-60-FIND(AE$2,Mail!$A55)-LEN(AE$2),FIND("■",Mail!$A55,FIND(AE$2,Mail!$A55)+LEN(AE$2))-FIND(AE$2,Mail!$A55)-LEN(AE$2)-1)))))</f>
        <v/>
      </c>
      <c r="AF57" s="8" t="str">
        <f>TRIM(CLEAN(IF(ISERROR(FIND(AF$2,Mail!$A55)),"",MID(Mail!$A55,FIND(AF$2,Mail!$A55)+LEN(AF$2)+1,IF(ISERROR(FIND("■",Mail!$A55,FIND(AF$2,Mail!$A55)+LEN(AF$2))-FIND(AF$2,Mail!$A55)-LEN(AF$2)),LEN(Mail!$A55)-60-FIND(AF$2,Mail!$A55)-LEN(AF$2),FIND("■",Mail!$A55,FIND(AF$2,Mail!$A55)+LEN(AF$2))-FIND(AF$2,Mail!$A55)-LEN(AF$2)-1)))))</f>
        <v/>
      </c>
      <c r="AG57" s="8" t="str">
        <f>TRIM(IF(ISERROR(FIND(AG$2,Mail!$A55)),"",MID(Mail!$A55,FIND(AG$2,Mail!$A55)+LEN(AG$2)+1,IF(ISERROR(FIND("■",Mail!$A55,FIND(AG$2,Mail!$A55)+LEN(AG$2))-FIND(AG$2,Mail!$A55)-LEN(AG$2)),LEN(Mail!$A55)-60-FIND(AG$2,Mail!$A55)-LEN(AG$2),FIND("■",Mail!$A55,FIND(AG$2,Mail!$A55)+LEN(AG$2))-FIND(AG$2,Mail!$A55)-LEN(AG$2)-1))))</f>
        <v/>
      </c>
      <c r="AH57" s="8" t="str">
        <f>TRIM(IF(ISERROR(FIND(AH$2,Mail!$A55)),"",MID(Mail!$A55,FIND(AH$2,Mail!$A55)+LEN(AH$2)+1,IF(ISERROR(FIND("■",Mail!$A55,FIND(AH$2,Mail!$A55)+LEN(AH$2))-FIND(AH$2,Mail!$A55)-LEN(AH$2)),LEN(Mail!$A55)-60-FIND(AH$2,Mail!$A55)-LEN(AH$2),FIND("■",Mail!$A55,FIND(AH$2,Mail!$A55)+LEN(AH$2))-FIND(AH$2,Mail!$A55)-LEN(AH$2)-1))))</f>
        <v/>
      </c>
      <c r="AI57" s="8" t="str">
        <f>TRIM(IF(ISERROR(FIND(AI$2,Mail!$A55)),"",MID(Mail!$A55,FIND(AI$2,Mail!$A55)+LEN(AI$2)+1,IF(ISERROR(FIND("■",Mail!$A55,FIND(AI$2,Mail!$A55)+LEN(AI$2))-FIND(AI$2,Mail!$A55)-LEN(AI$2)),LEN(Mail!$A55)-60-FIND(AI$2,Mail!$A55)-LEN(AI$2),FIND("■",Mail!$A55,FIND(AI$2,Mail!$A55)+LEN(AI$2))-FIND(AI$2,Mail!$A55)-LEN(AI$2)-1))))</f>
        <v/>
      </c>
    </row>
    <row r="58" spans="1:35" s="8" customFormat="1" x14ac:dyDescent="0.15">
      <c r="A58" s="9" t="str">
        <f t="shared" si="1"/>
        <v/>
      </c>
      <c r="B58" s="8" t="str">
        <f>CLEAN(SUBSTITUTE(IF(ISERROR(FIND("yokohama",Mail!$A56)),"",MID(Mail!$A56,FIND("yokohama",Mail!$A56)+LEN("yokohama")+1,FIND("件目",Mail!$A56,FIND("yokohama",Mail!$A56))-(FIND("yokohama",Mail!$A56)+LEN("yokohama")+1)))," ",""))</f>
        <v/>
      </c>
      <c r="C58" s="9" t="str">
        <f t="shared" si="4"/>
        <v/>
      </c>
      <c r="D58" s="9" t="str">
        <f t="shared" si="2"/>
        <v/>
      </c>
      <c r="E58" s="8" t="str">
        <f t="shared" si="3"/>
        <v/>
      </c>
      <c r="F58" s="8" t="str">
        <f>TRIM(CLEAN(IF(ISERROR(FIND(F$2,Mail!$A56)),"",MID(Mail!$A56,FIND(F$2,Mail!$A56)+LEN(F$2)+1,IF(ISERROR(FIND("■",Mail!$A56,FIND(F$2,Mail!$A56)+LEN(F$2))-FIND(F$2,Mail!$A56)-LEN(F$2)),LEN(Mail!$A56)-60-FIND(F$2,Mail!$A56)-LEN(F$2),FIND("■",Mail!$A56,FIND(F$2,Mail!$A56)+LEN(F$2))-FIND(F$2,Mail!$A56)-LEN(F$2)-1)))))</f>
        <v/>
      </c>
      <c r="G58" s="8" t="str">
        <f>TRIM(CLEAN(IF(ISERROR(FIND(G$2,Mail!$A56)),"",MID(Mail!$A56,FIND(G$2,Mail!$A56)+LEN(G$2)+1,IF(ISERROR(FIND("■",Mail!$A56,FIND(G$2,Mail!$A56)+LEN(G$2))-FIND(G$2,Mail!$A56)-LEN(G$2)),LEN(Mail!$A56)-60-FIND(G$2,Mail!$A56)-LEN(G$2),FIND("■",Mail!$A56,FIND(G$2,Mail!$A56)+LEN(G$2))-FIND(G$2,Mail!$A56)-LEN(G$2)-1)))))</f>
        <v/>
      </c>
      <c r="H58" s="8" t="str">
        <f>TRIM(CLEAN(IF(ISERROR(FIND(H$2,Mail!$A56)),"",MID(Mail!$A56,FIND(H$2,Mail!$A56)+LEN(H$2)+1,IF(ISERROR(FIND("■",Mail!$A56,FIND(H$2,Mail!$A56)+LEN(H$2))-FIND(H$2,Mail!$A56)-LEN(H$2)),LEN(Mail!$A56)-60-FIND(H$2,Mail!$A56)-LEN(H$2),FIND("■",Mail!$A56,FIND(H$2,Mail!$A56)+LEN(H$2))-FIND(H$2,Mail!$A56)-LEN(H$2)-1)))))</f>
        <v/>
      </c>
      <c r="I58" s="8" t="str">
        <f>TRIM(CLEAN(IF(ISERROR(FIND(I$2,Mail!$A56)),"",MID(Mail!$A56,FIND(I$2,Mail!$A56)+LEN(I$2)+1,IF(ISERROR(FIND("■",Mail!$A56,FIND(I$2,Mail!$A56)+LEN(I$2))-FIND(I$2,Mail!$A56)-LEN(I$2)),LEN(Mail!$A56)-60-FIND(I$2,Mail!$A56)-LEN(I$2),FIND("■",Mail!$A56,FIND(I$2,Mail!$A56)+LEN(I$2))-FIND(I$2,Mail!$A56)-LEN(I$2)-1)))))</f>
        <v/>
      </c>
      <c r="J58" s="8" t="str">
        <f>TRIM(IF(ISERROR(FIND(J$2,Mail!$A56)),"",MID(Mail!$A56,FIND(J$2,Mail!$A56)+LEN(J$2)+1,IF(ISERROR(FIND("■",Mail!$A56,FIND(J$2,Mail!$A56)+LEN(J$2))-FIND(J$2,Mail!$A56)-LEN(J$2)),LEN(Mail!$A56)-60-FIND(J$2,Mail!$A56)-LEN(J$2),FIND("■",Mail!$A56,FIND(J$2,Mail!$A56)+LEN(J$2))-FIND(J$2,Mail!$A56)-LEN(J$2)-1))))</f>
        <v/>
      </c>
      <c r="K58" s="8" t="str">
        <f>TRIM(IF(ISERROR(FIND(K$2,Mail!$A56)),"",MID(Mail!$A56,FIND(K$2,Mail!$A56)+LEN(K$2)+1,IF(ISERROR(FIND("■",Mail!$A56,FIND(K$2,Mail!$A56)+LEN(K$2))-FIND(K$2,Mail!$A56)-LEN(K$2)),LEN(Mail!$A56)-60-FIND(K$2,Mail!$A56)-LEN(K$2),FIND("■",Mail!$A56,FIND(K$2,Mail!$A56)+LEN(K$2))-FIND(K$2,Mail!$A56)-LEN(K$2)-1))))</f>
        <v/>
      </c>
      <c r="L58" s="8" t="str">
        <f>TRIM(IF(ISERROR(FIND(L$2,Mail!$A56)),"",MID(Mail!$A56,FIND(L$2,Mail!$A56)+LEN(L$2)+1,IF(ISERROR(FIND("■",Mail!$A56,FIND(L$2,Mail!$A56)+LEN(L$2))-FIND(L$2,Mail!$A56)-LEN(L$2)),LEN(Mail!$A56)-60-FIND(L$2,Mail!$A56)-LEN(L$2),FIND("■",Mail!$A56,FIND(L$2,Mail!$A56)+LEN(L$2))-FIND(L$2,Mail!$A56)-LEN(L$2)-1))))</f>
        <v/>
      </c>
      <c r="M58" s="8" t="str">
        <f>TRIM(CLEAN(IF(ISERROR(FIND(M$2,Mail!$A56)),"",MID(Mail!$A56,FIND(M$2,Mail!$A56)+LEN(M$2)+1,IF(ISERROR(FIND("■",Mail!$A56,FIND(M$2,Mail!$A56)+LEN(M$2))-FIND(M$2,Mail!$A56)-LEN(M$2)),LEN(Mail!$A56)-60-FIND(M$2,Mail!$A56)-LEN(M$2),FIND("■",Mail!$A56,FIND(M$2,Mail!$A56)+LEN(M$2))-FIND(M$2,Mail!$A56)-LEN(M$2)-1)))))</f>
        <v/>
      </c>
      <c r="N58" s="8" t="str">
        <f>TRIM(CLEAN(IF(ISERROR(FIND(N$2,Mail!$A56)),"",MID(Mail!$A56,FIND(N$2,Mail!$A56)+LEN(N$2)+1,IF(ISERROR(FIND("■",Mail!$A56,FIND(N$2,Mail!$A56)+LEN(N$2))-FIND(N$2,Mail!$A56)-LEN(N$2)),LEN(Mail!$A56)-60-FIND(N$2,Mail!$A56)-LEN(N$2),FIND("■",Mail!$A56,FIND(N$2,Mail!$A56)+LEN(N$2))-FIND(N$2,Mail!$A56)-LEN(N$2)-1)))))</f>
        <v/>
      </c>
      <c r="O58" s="8" t="str">
        <f>TRIM(CLEAN(IF(ISERROR(FIND(O$2,Mail!$A56)),"",MID(Mail!$A56,FIND(O$2,Mail!$A56)+LEN(O$2)+1,IF(ISERROR(FIND("■",Mail!$A56,FIND(O$2,Mail!$A56)+LEN(O$2))-FIND(O$2,Mail!$A56)-LEN(O$2)),LEN(Mail!$A56)-60-FIND(O$2,Mail!$A56)-LEN(O$2),FIND("■",Mail!$A56,FIND(O$2,Mail!$A56)+LEN(O$2))-FIND(O$2,Mail!$A56)-LEN(O$2)-1)))))</f>
        <v/>
      </c>
      <c r="P58" s="8" t="str">
        <f>TRIM(CLEAN(IF(ISERROR(FIND(P$2,Mail!$A56)),"",MID(Mail!$A56,FIND(P$2,Mail!$A56)+LEN(P$2)+1,IF(ISERROR(FIND("■",Mail!$A56,FIND(P$2,Mail!$A56)+LEN(P$2))-FIND(P$2,Mail!$A56)-LEN(P$2)),LEN(Mail!$A56)-60-FIND(P$2,Mail!$A56)-LEN(P$2),FIND("■",Mail!$A56,FIND(P$2,Mail!$A56)+LEN(P$2))-FIND(P$2,Mail!$A56)-LEN(P$2)-1)))))</f>
        <v/>
      </c>
      <c r="Q58" s="8" t="str">
        <f>TRIM(CLEAN(IF(ISERROR(FIND(Q$2,Mail!$A56)),"",MID(Mail!$A56,FIND(Q$2,Mail!$A56)+LEN(Q$2)+1,IF(ISERROR(FIND("■",Mail!$A56,FIND(Q$2,Mail!$A56)+LEN(Q$2))-FIND(Q$2,Mail!$A56)-LEN(Q$2)),LEN(Mail!$A56)-60-FIND(Q$2,Mail!$A56)-LEN(Q$2),FIND("■",Mail!$A56,FIND(Q$2,Mail!$A56)+LEN(Q$2))-FIND(Q$2,Mail!$A56)-LEN(Q$2)-1)))))</f>
        <v/>
      </c>
      <c r="R58" s="8" t="str">
        <f>TRIM(CLEAN(IF(ISERROR(FIND(R$2,Mail!$A56)),"",MID(Mail!$A56,FIND(R$2,Mail!$A56)+LEN(R$2)+1,IF(ISERROR(FIND("■",Mail!$A56,FIND(R$2,Mail!$A56)+LEN(R$2))-FIND(R$2,Mail!$A56)-LEN(R$2)),LEN(Mail!$A56)-60-FIND(R$2,Mail!$A56)-LEN(R$2),FIND("■",Mail!$A56,FIND(R$2,Mail!$A56)+LEN(R$2))-FIND(R$2,Mail!$A56)-LEN(R$2)-1)))))</f>
        <v/>
      </c>
      <c r="S58" s="8" t="str">
        <f>TRIM(CLEAN(IF(ISERROR(FIND(S$2,Mail!$A56)),"",MID(Mail!$A56,FIND(S$2,Mail!$A56)+LEN(S$2)+1,IF(ISERROR(FIND("■",Mail!$A56,FIND(S$2,Mail!$A56)+LEN(S$2))-FIND(S$2,Mail!$A56)-LEN(S$2)),LEN(Mail!$A56)-60-FIND(S$2,Mail!$A56)-LEN(S$2),FIND("■",Mail!$A56,FIND(S$2,Mail!$A56)+LEN(S$2))-FIND(S$2,Mail!$A56)-LEN(S$2)-1)))))</f>
        <v/>
      </c>
      <c r="T58" s="8" t="str">
        <f>TRIM(CLEAN(IF(ISERROR(FIND(T$2,Mail!$A56)),"",MID(Mail!$A56,FIND(T$2,Mail!$A56)+LEN(T$2)+1,IF(ISERROR(FIND("■",Mail!$A56,FIND(T$2,Mail!$A56)+LEN(T$2))-FIND(T$2,Mail!$A56)-LEN(T$2)),LEN(Mail!$A56)-60-FIND(T$2,Mail!$A56)-LEN(T$2),FIND("■",Mail!$A56,FIND(T$2,Mail!$A56)+LEN(T$2))-FIND(T$2,Mail!$A56)-LEN(T$2)-1)))))</f>
        <v/>
      </c>
      <c r="U58" s="8" t="str">
        <f>TRIM(CLEAN(IF(ISERROR(FIND(U$2,Mail!$A56)),"",MID(Mail!$A56,FIND(U$2,Mail!$A56)+LEN(U$2)+1,IF(ISERROR(FIND("■",Mail!$A56,FIND(U$2,Mail!$A56)+LEN(U$2))-FIND(U$2,Mail!$A56)-LEN(U$2)),LEN(Mail!$A56)-60-FIND(U$2,Mail!$A56)-LEN(U$2),FIND("■",Mail!$A56,FIND(U$2,Mail!$A56)+LEN(U$2))-FIND(U$2,Mail!$A56)-LEN(U$2)-1)))))</f>
        <v/>
      </c>
      <c r="V58" s="8" t="str">
        <f>TRIM(CLEAN(IF(ISERROR(FIND(V$2,Mail!$A56)),"",MID(Mail!$A56,FIND(V$2,Mail!$A56)+LEN(V$2)+1,IF(ISERROR(FIND("■",Mail!$A56,FIND(V$2,Mail!$A56)+LEN(V$2))-FIND(V$2,Mail!$A56)-LEN(V$2)),LEN(Mail!$A56)-60-FIND(V$2,Mail!$A56)-LEN(V$2),FIND("■",Mail!$A56,FIND(V$2,Mail!$A56)+LEN(V$2))-FIND(V$2,Mail!$A56)-LEN(V$2)-1)))))</f>
        <v/>
      </c>
      <c r="W58" s="8" t="str">
        <f>TRIM(CLEAN(IF(ISERROR(FIND(W$2,Mail!$A56)),"",MID(Mail!$A56,FIND(W$2,Mail!$A56)+LEN(W$2)+1,IF(ISERROR(FIND("■",Mail!$A56,FIND(W$2,Mail!$A56)+LEN(W$2))-FIND(W$2,Mail!$A56)-LEN(W$2)),LEN(Mail!$A56)-60-FIND(W$2,Mail!$A56)-LEN(W$2),FIND("■",Mail!$A56,FIND(W$2,Mail!$A56)+LEN(W$2))-FIND(W$2,Mail!$A56)-LEN(W$2)-1)))))</f>
        <v/>
      </c>
      <c r="X58" s="8" t="str">
        <f>TRIM(IF(ISERROR(FIND(X$2,Mail!$A56)),"",MID(Mail!$A56,FIND(X$2,Mail!$A56)+LEN(X$2)+1,IF(ISERROR(FIND("■",Mail!$A56,FIND(X$2,Mail!$A56)+LEN(X$2))-FIND(X$2,Mail!$A56)-LEN(X$2)),LEN(Mail!$A56)-60-FIND(X$2,Mail!$A56)-LEN(X$2),FIND("■",Mail!$A56,FIND(X$2,Mail!$A56)+LEN(X$2))-FIND(X$2,Mail!$A56)-LEN(X$2)-1))))</f>
        <v/>
      </c>
      <c r="Y58" s="8" t="str">
        <f>TRIM(CLEAN(IF(ISERROR(FIND(Y$2,Mail!$A56)),"",MID(Mail!$A56,FIND(Y$2,Mail!$A56)+LEN(Y$2)+1,IF(ISERROR(FIND("■",Mail!$A56,FIND(Y$2,Mail!$A56)+LEN(Y$2))-FIND(Y$2,Mail!$A56)-LEN(Y$2)),LEN(Mail!$A56)-60-FIND(Y$2,Mail!$A56)-LEN(Y$2),FIND("■",Mail!$A56,FIND(Y$2,Mail!$A56)+LEN(Y$2))-FIND(Y$2,Mail!$A56)-LEN(Y$2)-1)))))</f>
        <v/>
      </c>
      <c r="Z58" s="8" t="str">
        <f>TRIM(CLEAN(IF(ISERROR(FIND(Z$2,Mail!$A56)),"",MID(Mail!$A56,FIND(Z$2,Mail!$A56)+LEN(Z$2)+1,IF(ISERROR(FIND("■",Mail!$A56,FIND(Z$2,Mail!$A56)+LEN(Z$2))-FIND(Z$2,Mail!$A56)-LEN(Z$2)),LEN(Mail!$A56)-60-FIND(Z$2,Mail!$A56)-LEN(Z$2),FIND("■",Mail!$A56,FIND(Z$2,Mail!$A56)+LEN(Z$2))-FIND(Z$2,Mail!$A56)-LEN(Z$2)-1)))))</f>
        <v/>
      </c>
      <c r="AA58" s="8" t="str">
        <f>TRIM(CLEAN(IF(ISERROR(FIND(AA$2,Mail!$A56)),"",MID(Mail!$A56,FIND(AA$2,Mail!$A56)+LEN(AA$2)+1,IF(ISERROR(FIND("■",Mail!$A56,FIND(AA$2,Mail!$A56)+LEN(AA$2))-FIND(AA$2,Mail!$A56)-LEN(AA$2)),LEN(Mail!$A56)-60-FIND(AA$2,Mail!$A56)-LEN(AA$2),FIND("■",Mail!$A56,FIND(AA$2,Mail!$A56)+LEN(AA$2))-FIND(AA$2,Mail!$A56)-LEN(AA$2)-1)))))</f>
        <v/>
      </c>
      <c r="AB58" s="8" t="str">
        <f>TRIM(CLEAN(IF(ISERROR(FIND(AB$2,Mail!$A56)),"",MID(Mail!$A56,FIND(AB$2,Mail!$A56)+LEN(AB$2)+1,IF(ISERROR(FIND("■",Mail!$A56,FIND(AB$2,Mail!$A56)+LEN(AB$2))-FIND(AB$2,Mail!$A56)-LEN(AB$2)),LEN(Mail!$A56)-60-FIND(AB$2,Mail!$A56)-LEN(AB$2),FIND("■",Mail!$A56,FIND(AB$2,Mail!$A56)+LEN(AB$2))-FIND(AB$2,Mail!$A56)-LEN(AB$2)-1)))))</f>
        <v/>
      </c>
      <c r="AC58" s="8" t="str">
        <f>TRIM(CLEAN(IF(ISERROR(FIND(AC$2,Mail!$A56)),"",MID(Mail!$A56,FIND(AC$2,Mail!$A56)+LEN(AC$2)+1,IF(ISERROR(FIND("■",Mail!$A56,FIND(AC$2,Mail!$A56)+LEN(AC$2))-FIND(AC$2,Mail!$A56)-LEN(AC$2)),LEN(Mail!$A56)-60-FIND(AC$2,Mail!$A56)-LEN(AC$2),FIND("■",Mail!$A56,FIND(AC$2,Mail!$A56)+LEN(AC$2))-FIND(AC$2,Mail!$A56)-LEN(AC$2)-1)))))</f>
        <v/>
      </c>
      <c r="AD58" s="8" t="str">
        <f>TRIM(CLEAN(IF(ISERROR(FIND(AD$2,Mail!$A56)),"",MID(Mail!$A56,FIND(AD$2,Mail!$A56)+LEN(AD$2)+1,IF(ISERROR(FIND("■",Mail!$A56,FIND(AD$2,Mail!$A56)+LEN(AD$2))-FIND(AD$2,Mail!$A56)-LEN(AD$2)),LEN(Mail!$A56)-60-FIND(AD$2,Mail!$A56)-LEN(AD$2),FIND("■",Mail!$A56,FIND(AD$2,Mail!$A56)+LEN(AD$2))-FIND(AD$2,Mail!$A56)-LEN(AD$2)-1)))))</f>
        <v/>
      </c>
      <c r="AE58" s="8" t="str">
        <f>TRIM(CLEAN(IF(ISERROR(FIND(AE$2,Mail!$A56)),"",MID(Mail!$A56,FIND(AE$2,Mail!$A56)+LEN(AE$2)+1,IF(ISERROR(FIND("■",Mail!$A56,FIND(AE$2,Mail!$A56)+LEN(AE$2))-FIND(AE$2,Mail!$A56)-LEN(AE$2)),LEN(Mail!$A56)-60-FIND(AE$2,Mail!$A56)-LEN(AE$2),FIND("■",Mail!$A56,FIND(AE$2,Mail!$A56)+LEN(AE$2))-FIND(AE$2,Mail!$A56)-LEN(AE$2)-1)))))</f>
        <v/>
      </c>
      <c r="AF58" s="8" t="str">
        <f>TRIM(CLEAN(IF(ISERROR(FIND(AF$2,Mail!$A56)),"",MID(Mail!$A56,FIND(AF$2,Mail!$A56)+LEN(AF$2)+1,IF(ISERROR(FIND("■",Mail!$A56,FIND(AF$2,Mail!$A56)+LEN(AF$2))-FIND(AF$2,Mail!$A56)-LEN(AF$2)),LEN(Mail!$A56)-60-FIND(AF$2,Mail!$A56)-LEN(AF$2),FIND("■",Mail!$A56,FIND(AF$2,Mail!$A56)+LEN(AF$2))-FIND(AF$2,Mail!$A56)-LEN(AF$2)-1)))))</f>
        <v/>
      </c>
      <c r="AG58" s="8" t="str">
        <f>TRIM(IF(ISERROR(FIND(AG$2,Mail!$A56)),"",MID(Mail!$A56,FIND(AG$2,Mail!$A56)+LEN(AG$2)+1,IF(ISERROR(FIND("■",Mail!$A56,FIND(AG$2,Mail!$A56)+LEN(AG$2))-FIND(AG$2,Mail!$A56)-LEN(AG$2)),LEN(Mail!$A56)-60-FIND(AG$2,Mail!$A56)-LEN(AG$2),FIND("■",Mail!$A56,FIND(AG$2,Mail!$A56)+LEN(AG$2))-FIND(AG$2,Mail!$A56)-LEN(AG$2)-1))))</f>
        <v/>
      </c>
      <c r="AH58" s="8" t="str">
        <f>TRIM(IF(ISERROR(FIND(AH$2,Mail!$A56)),"",MID(Mail!$A56,FIND(AH$2,Mail!$A56)+LEN(AH$2)+1,IF(ISERROR(FIND("■",Mail!$A56,FIND(AH$2,Mail!$A56)+LEN(AH$2))-FIND(AH$2,Mail!$A56)-LEN(AH$2)),LEN(Mail!$A56)-60-FIND(AH$2,Mail!$A56)-LEN(AH$2),FIND("■",Mail!$A56,FIND(AH$2,Mail!$A56)+LEN(AH$2))-FIND(AH$2,Mail!$A56)-LEN(AH$2)-1))))</f>
        <v/>
      </c>
      <c r="AI58" s="8" t="str">
        <f>TRIM(IF(ISERROR(FIND(AI$2,Mail!$A56)),"",MID(Mail!$A56,FIND(AI$2,Mail!$A56)+LEN(AI$2)+1,IF(ISERROR(FIND("■",Mail!$A56,FIND(AI$2,Mail!$A56)+LEN(AI$2))-FIND(AI$2,Mail!$A56)-LEN(AI$2)),LEN(Mail!$A56)-60-FIND(AI$2,Mail!$A56)-LEN(AI$2),FIND("■",Mail!$A56,FIND(AI$2,Mail!$A56)+LEN(AI$2))-FIND(AI$2,Mail!$A56)-LEN(AI$2)-1))))</f>
        <v/>
      </c>
    </row>
    <row r="59" spans="1:35" s="8" customFormat="1" x14ac:dyDescent="0.15">
      <c r="A59" s="9" t="str">
        <f t="shared" si="1"/>
        <v/>
      </c>
      <c r="B59" s="8" t="str">
        <f>CLEAN(SUBSTITUTE(IF(ISERROR(FIND("yokohama",Mail!$A57)),"",MID(Mail!$A57,FIND("yokohama",Mail!$A57)+LEN("yokohama")+1,FIND("件目",Mail!$A57,FIND("yokohama",Mail!$A57))-(FIND("yokohama",Mail!$A57)+LEN("yokohama")+1)))," ",""))</f>
        <v/>
      </c>
      <c r="C59" s="9" t="str">
        <f t="shared" si="4"/>
        <v/>
      </c>
      <c r="D59" s="9" t="str">
        <f t="shared" si="2"/>
        <v/>
      </c>
      <c r="E59" s="8" t="str">
        <f t="shared" si="3"/>
        <v/>
      </c>
      <c r="F59" s="8" t="str">
        <f>TRIM(CLEAN(IF(ISERROR(FIND(F$2,Mail!$A57)),"",MID(Mail!$A57,FIND(F$2,Mail!$A57)+LEN(F$2)+1,IF(ISERROR(FIND("■",Mail!$A57,FIND(F$2,Mail!$A57)+LEN(F$2))-FIND(F$2,Mail!$A57)-LEN(F$2)),LEN(Mail!$A57)-60-FIND(F$2,Mail!$A57)-LEN(F$2),FIND("■",Mail!$A57,FIND(F$2,Mail!$A57)+LEN(F$2))-FIND(F$2,Mail!$A57)-LEN(F$2)-1)))))</f>
        <v/>
      </c>
      <c r="G59" s="8" t="str">
        <f>TRIM(CLEAN(IF(ISERROR(FIND(G$2,Mail!$A57)),"",MID(Mail!$A57,FIND(G$2,Mail!$A57)+LEN(G$2)+1,IF(ISERROR(FIND("■",Mail!$A57,FIND(G$2,Mail!$A57)+LEN(G$2))-FIND(G$2,Mail!$A57)-LEN(G$2)),LEN(Mail!$A57)-60-FIND(G$2,Mail!$A57)-LEN(G$2),FIND("■",Mail!$A57,FIND(G$2,Mail!$A57)+LEN(G$2))-FIND(G$2,Mail!$A57)-LEN(G$2)-1)))))</f>
        <v/>
      </c>
      <c r="H59" s="8" t="str">
        <f>TRIM(CLEAN(IF(ISERROR(FIND(H$2,Mail!$A57)),"",MID(Mail!$A57,FIND(H$2,Mail!$A57)+LEN(H$2)+1,IF(ISERROR(FIND("■",Mail!$A57,FIND(H$2,Mail!$A57)+LEN(H$2))-FIND(H$2,Mail!$A57)-LEN(H$2)),LEN(Mail!$A57)-60-FIND(H$2,Mail!$A57)-LEN(H$2),FIND("■",Mail!$A57,FIND(H$2,Mail!$A57)+LEN(H$2))-FIND(H$2,Mail!$A57)-LEN(H$2)-1)))))</f>
        <v/>
      </c>
      <c r="I59" s="8" t="str">
        <f>TRIM(CLEAN(IF(ISERROR(FIND(I$2,Mail!$A57)),"",MID(Mail!$A57,FIND(I$2,Mail!$A57)+LEN(I$2)+1,IF(ISERROR(FIND("■",Mail!$A57,FIND(I$2,Mail!$A57)+LEN(I$2))-FIND(I$2,Mail!$A57)-LEN(I$2)),LEN(Mail!$A57)-60-FIND(I$2,Mail!$A57)-LEN(I$2),FIND("■",Mail!$A57,FIND(I$2,Mail!$A57)+LEN(I$2))-FIND(I$2,Mail!$A57)-LEN(I$2)-1)))))</f>
        <v/>
      </c>
      <c r="J59" s="8" t="str">
        <f>TRIM(IF(ISERROR(FIND(J$2,Mail!$A57)),"",MID(Mail!$A57,FIND(J$2,Mail!$A57)+LEN(J$2)+1,IF(ISERROR(FIND("■",Mail!$A57,FIND(J$2,Mail!$A57)+LEN(J$2))-FIND(J$2,Mail!$A57)-LEN(J$2)),LEN(Mail!$A57)-60-FIND(J$2,Mail!$A57)-LEN(J$2),FIND("■",Mail!$A57,FIND(J$2,Mail!$A57)+LEN(J$2))-FIND(J$2,Mail!$A57)-LEN(J$2)-1))))</f>
        <v/>
      </c>
      <c r="K59" s="8" t="str">
        <f>TRIM(IF(ISERROR(FIND(K$2,Mail!$A57)),"",MID(Mail!$A57,FIND(K$2,Mail!$A57)+LEN(K$2)+1,IF(ISERROR(FIND("■",Mail!$A57,FIND(K$2,Mail!$A57)+LEN(K$2))-FIND(K$2,Mail!$A57)-LEN(K$2)),LEN(Mail!$A57)-60-FIND(K$2,Mail!$A57)-LEN(K$2),FIND("■",Mail!$A57,FIND(K$2,Mail!$A57)+LEN(K$2))-FIND(K$2,Mail!$A57)-LEN(K$2)-1))))</f>
        <v/>
      </c>
      <c r="L59" s="8" t="str">
        <f>TRIM(IF(ISERROR(FIND(L$2,Mail!$A57)),"",MID(Mail!$A57,FIND(L$2,Mail!$A57)+LEN(L$2)+1,IF(ISERROR(FIND("■",Mail!$A57,FIND(L$2,Mail!$A57)+LEN(L$2))-FIND(L$2,Mail!$A57)-LEN(L$2)),LEN(Mail!$A57)-60-FIND(L$2,Mail!$A57)-LEN(L$2),FIND("■",Mail!$A57,FIND(L$2,Mail!$A57)+LEN(L$2))-FIND(L$2,Mail!$A57)-LEN(L$2)-1))))</f>
        <v/>
      </c>
      <c r="M59" s="8" t="str">
        <f>TRIM(CLEAN(IF(ISERROR(FIND(M$2,Mail!$A57)),"",MID(Mail!$A57,FIND(M$2,Mail!$A57)+LEN(M$2)+1,IF(ISERROR(FIND("■",Mail!$A57,FIND(M$2,Mail!$A57)+LEN(M$2))-FIND(M$2,Mail!$A57)-LEN(M$2)),LEN(Mail!$A57)-60-FIND(M$2,Mail!$A57)-LEN(M$2),FIND("■",Mail!$A57,FIND(M$2,Mail!$A57)+LEN(M$2))-FIND(M$2,Mail!$A57)-LEN(M$2)-1)))))</f>
        <v/>
      </c>
      <c r="N59" s="8" t="str">
        <f>TRIM(CLEAN(IF(ISERROR(FIND(N$2,Mail!$A57)),"",MID(Mail!$A57,FIND(N$2,Mail!$A57)+LEN(N$2)+1,IF(ISERROR(FIND("■",Mail!$A57,FIND(N$2,Mail!$A57)+LEN(N$2))-FIND(N$2,Mail!$A57)-LEN(N$2)),LEN(Mail!$A57)-60-FIND(N$2,Mail!$A57)-LEN(N$2),FIND("■",Mail!$A57,FIND(N$2,Mail!$A57)+LEN(N$2))-FIND(N$2,Mail!$A57)-LEN(N$2)-1)))))</f>
        <v/>
      </c>
      <c r="O59" s="8" t="str">
        <f>TRIM(CLEAN(IF(ISERROR(FIND(O$2,Mail!$A57)),"",MID(Mail!$A57,FIND(O$2,Mail!$A57)+LEN(O$2)+1,IF(ISERROR(FIND("■",Mail!$A57,FIND(O$2,Mail!$A57)+LEN(O$2))-FIND(O$2,Mail!$A57)-LEN(O$2)),LEN(Mail!$A57)-60-FIND(O$2,Mail!$A57)-LEN(O$2),FIND("■",Mail!$A57,FIND(O$2,Mail!$A57)+LEN(O$2))-FIND(O$2,Mail!$A57)-LEN(O$2)-1)))))</f>
        <v/>
      </c>
      <c r="P59" s="8" t="str">
        <f>TRIM(CLEAN(IF(ISERROR(FIND(P$2,Mail!$A57)),"",MID(Mail!$A57,FIND(P$2,Mail!$A57)+LEN(P$2)+1,IF(ISERROR(FIND("■",Mail!$A57,FIND(P$2,Mail!$A57)+LEN(P$2))-FIND(P$2,Mail!$A57)-LEN(P$2)),LEN(Mail!$A57)-60-FIND(P$2,Mail!$A57)-LEN(P$2),FIND("■",Mail!$A57,FIND(P$2,Mail!$A57)+LEN(P$2))-FIND(P$2,Mail!$A57)-LEN(P$2)-1)))))</f>
        <v/>
      </c>
      <c r="Q59" s="8" t="str">
        <f>TRIM(CLEAN(IF(ISERROR(FIND(Q$2,Mail!$A57)),"",MID(Mail!$A57,FIND(Q$2,Mail!$A57)+LEN(Q$2)+1,IF(ISERROR(FIND("■",Mail!$A57,FIND(Q$2,Mail!$A57)+LEN(Q$2))-FIND(Q$2,Mail!$A57)-LEN(Q$2)),LEN(Mail!$A57)-60-FIND(Q$2,Mail!$A57)-LEN(Q$2),FIND("■",Mail!$A57,FIND(Q$2,Mail!$A57)+LEN(Q$2))-FIND(Q$2,Mail!$A57)-LEN(Q$2)-1)))))</f>
        <v/>
      </c>
      <c r="R59" s="8" t="str">
        <f>TRIM(CLEAN(IF(ISERROR(FIND(R$2,Mail!$A57)),"",MID(Mail!$A57,FIND(R$2,Mail!$A57)+LEN(R$2)+1,IF(ISERROR(FIND("■",Mail!$A57,FIND(R$2,Mail!$A57)+LEN(R$2))-FIND(R$2,Mail!$A57)-LEN(R$2)),LEN(Mail!$A57)-60-FIND(R$2,Mail!$A57)-LEN(R$2),FIND("■",Mail!$A57,FIND(R$2,Mail!$A57)+LEN(R$2))-FIND(R$2,Mail!$A57)-LEN(R$2)-1)))))</f>
        <v/>
      </c>
      <c r="S59" s="8" t="str">
        <f>TRIM(CLEAN(IF(ISERROR(FIND(S$2,Mail!$A57)),"",MID(Mail!$A57,FIND(S$2,Mail!$A57)+LEN(S$2)+1,IF(ISERROR(FIND("■",Mail!$A57,FIND(S$2,Mail!$A57)+LEN(S$2))-FIND(S$2,Mail!$A57)-LEN(S$2)),LEN(Mail!$A57)-60-FIND(S$2,Mail!$A57)-LEN(S$2),FIND("■",Mail!$A57,FIND(S$2,Mail!$A57)+LEN(S$2))-FIND(S$2,Mail!$A57)-LEN(S$2)-1)))))</f>
        <v/>
      </c>
      <c r="T59" s="8" t="str">
        <f>TRIM(CLEAN(IF(ISERROR(FIND(T$2,Mail!$A57)),"",MID(Mail!$A57,FIND(T$2,Mail!$A57)+LEN(T$2)+1,IF(ISERROR(FIND("■",Mail!$A57,FIND(T$2,Mail!$A57)+LEN(T$2))-FIND(T$2,Mail!$A57)-LEN(T$2)),LEN(Mail!$A57)-60-FIND(T$2,Mail!$A57)-LEN(T$2),FIND("■",Mail!$A57,FIND(T$2,Mail!$A57)+LEN(T$2))-FIND(T$2,Mail!$A57)-LEN(T$2)-1)))))</f>
        <v/>
      </c>
      <c r="U59" s="8" t="str">
        <f>TRIM(CLEAN(IF(ISERROR(FIND(U$2,Mail!$A57)),"",MID(Mail!$A57,FIND(U$2,Mail!$A57)+LEN(U$2)+1,IF(ISERROR(FIND("■",Mail!$A57,FIND(U$2,Mail!$A57)+LEN(U$2))-FIND(U$2,Mail!$A57)-LEN(U$2)),LEN(Mail!$A57)-60-FIND(U$2,Mail!$A57)-LEN(U$2),FIND("■",Mail!$A57,FIND(U$2,Mail!$A57)+LEN(U$2))-FIND(U$2,Mail!$A57)-LEN(U$2)-1)))))</f>
        <v/>
      </c>
      <c r="V59" s="8" t="str">
        <f>TRIM(CLEAN(IF(ISERROR(FIND(V$2,Mail!$A57)),"",MID(Mail!$A57,FIND(V$2,Mail!$A57)+LEN(V$2)+1,IF(ISERROR(FIND("■",Mail!$A57,FIND(V$2,Mail!$A57)+LEN(V$2))-FIND(V$2,Mail!$A57)-LEN(V$2)),LEN(Mail!$A57)-60-FIND(V$2,Mail!$A57)-LEN(V$2),FIND("■",Mail!$A57,FIND(V$2,Mail!$A57)+LEN(V$2))-FIND(V$2,Mail!$A57)-LEN(V$2)-1)))))</f>
        <v/>
      </c>
      <c r="W59" s="8" t="str">
        <f>TRIM(CLEAN(IF(ISERROR(FIND(W$2,Mail!$A57)),"",MID(Mail!$A57,FIND(W$2,Mail!$A57)+LEN(W$2)+1,IF(ISERROR(FIND("■",Mail!$A57,FIND(W$2,Mail!$A57)+LEN(W$2))-FIND(W$2,Mail!$A57)-LEN(W$2)),LEN(Mail!$A57)-60-FIND(W$2,Mail!$A57)-LEN(W$2),FIND("■",Mail!$A57,FIND(W$2,Mail!$A57)+LEN(W$2))-FIND(W$2,Mail!$A57)-LEN(W$2)-1)))))</f>
        <v/>
      </c>
      <c r="X59" s="8" t="str">
        <f>TRIM(IF(ISERROR(FIND(X$2,Mail!$A57)),"",MID(Mail!$A57,FIND(X$2,Mail!$A57)+LEN(X$2)+1,IF(ISERROR(FIND("■",Mail!$A57,FIND(X$2,Mail!$A57)+LEN(X$2))-FIND(X$2,Mail!$A57)-LEN(X$2)),LEN(Mail!$A57)-60-FIND(X$2,Mail!$A57)-LEN(X$2),FIND("■",Mail!$A57,FIND(X$2,Mail!$A57)+LEN(X$2))-FIND(X$2,Mail!$A57)-LEN(X$2)-1))))</f>
        <v/>
      </c>
      <c r="Y59" s="8" t="str">
        <f>TRIM(CLEAN(IF(ISERROR(FIND(Y$2,Mail!$A57)),"",MID(Mail!$A57,FIND(Y$2,Mail!$A57)+LEN(Y$2)+1,IF(ISERROR(FIND("■",Mail!$A57,FIND(Y$2,Mail!$A57)+LEN(Y$2))-FIND(Y$2,Mail!$A57)-LEN(Y$2)),LEN(Mail!$A57)-60-FIND(Y$2,Mail!$A57)-LEN(Y$2),FIND("■",Mail!$A57,FIND(Y$2,Mail!$A57)+LEN(Y$2))-FIND(Y$2,Mail!$A57)-LEN(Y$2)-1)))))</f>
        <v/>
      </c>
      <c r="Z59" s="8" t="str">
        <f>TRIM(CLEAN(IF(ISERROR(FIND(Z$2,Mail!$A57)),"",MID(Mail!$A57,FIND(Z$2,Mail!$A57)+LEN(Z$2)+1,IF(ISERROR(FIND("■",Mail!$A57,FIND(Z$2,Mail!$A57)+LEN(Z$2))-FIND(Z$2,Mail!$A57)-LEN(Z$2)),LEN(Mail!$A57)-60-FIND(Z$2,Mail!$A57)-LEN(Z$2),FIND("■",Mail!$A57,FIND(Z$2,Mail!$A57)+LEN(Z$2))-FIND(Z$2,Mail!$A57)-LEN(Z$2)-1)))))</f>
        <v/>
      </c>
      <c r="AA59" s="8" t="str">
        <f>TRIM(CLEAN(IF(ISERROR(FIND(AA$2,Mail!$A57)),"",MID(Mail!$A57,FIND(AA$2,Mail!$A57)+LEN(AA$2)+1,IF(ISERROR(FIND("■",Mail!$A57,FIND(AA$2,Mail!$A57)+LEN(AA$2))-FIND(AA$2,Mail!$A57)-LEN(AA$2)),LEN(Mail!$A57)-60-FIND(AA$2,Mail!$A57)-LEN(AA$2),FIND("■",Mail!$A57,FIND(AA$2,Mail!$A57)+LEN(AA$2))-FIND(AA$2,Mail!$A57)-LEN(AA$2)-1)))))</f>
        <v/>
      </c>
      <c r="AB59" s="8" t="str">
        <f>TRIM(CLEAN(IF(ISERROR(FIND(AB$2,Mail!$A57)),"",MID(Mail!$A57,FIND(AB$2,Mail!$A57)+LEN(AB$2)+1,IF(ISERROR(FIND("■",Mail!$A57,FIND(AB$2,Mail!$A57)+LEN(AB$2))-FIND(AB$2,Mail!$A57)-LEN(AB$2)),LEN(Mail!$A57)-60-FIND(AB$2,Mail!$A57)-LEN(AB$2),FIND("■",Mail!$A57,FIND(AB$2,Mail!$A57)+LEN(AB$2))-FIND(AB$2,Mail!$A57)-LEN(AB$2)-1)))))</f>
        <v/>
      </c>
      <c r="AC59" s="8" t="str">
        <f>TRIM(CLEAN(IF(ISERROR(FIND(AC$2,Mail!$A57)),"",MID(Mail!$A57,FIND(AC$2,Mail!$A57)+LEN(AC$2)+1,IF(ISERROR(FIND("■",Mail!$A57,FIND(AC$2,Mail!$A57)+LEN(AC$2))-FIND(AC$2,Mail!$A57)-LEN(AC$2)),LEN(Mail!$A57)-60-FIND(AC$2,Mail!$A57)-LEN(AC$2),FIND("■",Mail!$A57,FIND(AC$2,Mail!$A57)+LEN(AC$2))-FIND(AC$2,Mail!$A57)-LEN(AC$2)-1)))))</f>
        <v/>
      </c>
      <c r="AD59" s="8" t="str">
        <f>TRIM(CLEAN(IF(ISERROR(FIND(AD$2,Mail!$A57)),"",MID(Mail!$A57,FIND(AD$2,Mail!$A57)+LEN(AD$2)+1,IF(ISERROR(FIND("■",Mail!$A57,FIND(AD$2,Mail!$A57)+LEN(AD$2))-FIND(AD$2,Mail!$A57)-LEN(AD$2)),LEN(Mail!$A57)-60-FIND(AD$2,Mail!$A57)-LEN(AD$2),FIND("■",Mail!$A57,FIND(AD$2,Mail!$A57)+LEN(AD$2))-FIND(AD$2,Mail!$A57)-LEN(AD$2)-1)))))</f>
        <v/>
      </c>
      <c r="AE59" s="8" t="str">
        <f>TRIM(CLEAN(IF(ISERROR(FIND(AE$2,Mail!$A57)),"",MID(Mail!$A57,FIND(AE$2,Mail!$A57)+LEN(AE$2)+1,IF(ISERROR(FIND("■",Mail!$A57,FIND(AE$2,Mail!$A57)+LEN(AE$2))-FIND(AE$2,Mail!$A57)-LEN(AE$2)),LEN(Mail!$A57)-60-FIND(AE$2,Mail!$A57)-LEN(AE$2),FIND("■",Mail!$A57,FIND(AE$2,Mail!$A57)+LEN(AE$2))-FIND(AE$2,Mail!$A57)-LEN(AE$2)-1)))))</f>
        <v/>
      </c>
      <c r="AF59" s="8" t="str">
        <f>TRIM(CLEAN(IF(ISERROR(FIND(AF$2,Mail!$A57)),"",MID(Mail!$A57,FIND(AF$2,Mail!$A57)+LEN(AF$2)+1,IF(ISERROR(FIND("■",Mail!$A57,FIND(AF$2,Mail!$A57)+LEN(AF$2))-FIND(AF$2,Mail!$A57)-LEN(AF$2)),LEN(Mail!$A57)-60-FIND(AF$2,Mail!$A57)-LEN(AF$2),FIND("■",Mail!$A57,FIND(AF$2,Mail!$A57)+LEN(AF$2))-FIND(AF$2,Mail!$A57)-LEN(AF$2)-1)))))</f>
        <v/>
      </c>
      <c r="AG59" s="8" t="str">
        <f>TRIM(IF(ISERROR(FIND(AG$2,Mail!$A57)),"",MID(Mail!$A57,FIND(AG$2,Mail!$A57)+LEN(AG$2)+1,IF(ISERROR(FIND("■",Mail!$A57,FIND(AG$2,Mail!$A57)+LEN(AG$2))-FIND(AG$2,Mail!$A57)-LEN(AG$2)),LEN(Mail!$A57)-60-FIND(AG$2,Mail!$A57)-LEN(AG$2),FIND("■",Mail!$A57,FIND(AG$2,Mail!$A57)+LEN(AG$2))-FIND(AG$2,Mail!$A57)-LEN(AG$2)-1))))</f>
        <v/>
      </c>
      <c r="AH59" s="8" t="str">
        <f>TRIM(IF(ISERROR(FIND(AH$2,Mail!$A57)),"",MID(Mail!$A57,FIND(AH$2,Mail!$A57)+LEN(AH$2)+1,IF(ISERROR(FIND("■",Mail!$A57,FIND(AH$2,Mail!$A57)+LEN(AH$2))-FIND(AH$2,Mail!$A57)-LEN(AH$2)),LEN(Mail!$A57)-60-FIND(AH$2,Mail!$A57)-LEN(AH$2),FIND("■",Mail!$A57,FIND(AH$2,Mail!$A57)+LEN(AH$2))-FIND(AH$2,Mail!$A57)-LEN(AH$2)-1))))</f>
        <v/>
      </c>
      <c r="AI59" s="8" t="str">
        <f>TRIM(IF(ISERROR(FIND(AI$2,Mail!$A57)),"",MID(Mail!$A57,FIND(AI$2,Mail!$A57)+LEN(AI$2)+1,IF(ISERROR(FIND("■",Mail!$A57,FIND(AI$2,Mail!$A57)+LEN(AI$2))-FIND(AI$2,Mail!$A57)-LEN(AI$2)),LEN(Mail!$A57)-60-FIND(AI$2,Mail!$A57)-LEN(AI$2),FIND("■",Mail!$A57,FIND(AI$2,Mail!$A57)+LEN(AI$2))-FIND(AI$2,Mail!$A57)-LEN(AI$2)-1))))</f>
        <v/>
      </c>
    </row>
    <row r="60" spans="1:35" s="8" customFormat="1" x14ac:dyDescent="0.15">
      <c r="A60" s="9" t="str">
        <f t="shared" si="1"/>
        <v/>
      </c>
      <c r="B60" s="8" t="str">
        <f>CLEAN(SUBSTITUTE(IF(ISERROR(FIND("yokohama",Mail!$A58)),"",MID(Mail!$A58,FIND("yokohama",Mail!$A58)+LEN("yokohama")+1,FIND("件目",Mail!$A58,FIND("yokohama",Mail!$A58))-(FIND("yokohama",Mail!$A58)+LEN("yokohama")+1)))," ",""))</f>
        <v/>
      </c>
      <c r="C60" s="9" t="str">
        <f t="shared" si="4"/>
        <v/>
      </c>
      <c r="D60" s="9" t="str">
        <f t="shared" si="2"/>
        <v/>
      </c>
      <c r="E60" s="8" t="str">
        <f t="shared" si="3"/>
        <v/>
      </c>
      <c r="F60" s="8" t="str">
        <f>TRIM(CLEAN(IF(ISERROR(FIND(F$2,Mail!$A58)),"",MID(Mail!$A58,FIND(F$2,Mail!$A58)+LEN(F$2)+1,IF(ISERROR(FIND("■",Mail!$A58,FIND(F$2,Mail!$A58)+LEN(F$2))-FIND(F$2,Mail!$A58)-LEN(F$2)),LEN(Mail!$A58)-60-FIND(F$2,Mail!$A58)-LEN(F$2),FIND("■",Mail!$A58,FIND(F$2,Mail!$A58)+LEN(F$2))-FIND(F$2,Mail!$A58)-LEN(F$2)-1)))))</f>
        <v/>
      </c>
      <c r="G60" s="8" t="str">
        <f>TRIM(CLEAN(IF(ISERROR(FIND(G$2,Mail!$A58)),"",MID(Mail!$A58,FIND(G$2,Mail!$A58)+LEN(G$2)+1,IF(ISERROR(FIND("■",Mail!$A58,FIND(G$2,Mail!$A58)+LEN(G$2))-FIND(G$2,Mail!$A58)-LEN(G$2)),LEN(Mail!$A58)-60-FIND(G$2,Mail!$A58)-LEN(G$2),FIND("■",Mail!$A58,FIND(G$2,Mail!$A58)+LEN(G$2))-FIND(G$2,Mail!$A58)-LEN(G$2)-1)))))</f>
        <v/>
      </c>
      <c r="H60" s="8" t="str">
        <f>TRIM(CLEAN(IF(ISERROR(FIND(H$2,Mail!$A58)),"",MID(Mail!$A58,FIND(H$2,Mail!$A58)+LEN(H$2)+1,IF(ISERROR(FIND("■",Mail!$A58,FIND(H$2,Mail!$A58)+LEN(H$2))-FIND(H$2,Mail!$A58)-LEN(H$2)),LEN(Mail!$A58)-60-FIND(H$2,Mail!$A58)-LEN(H$2),FIND("■",Mail!$A58,FIND(H$2,Mail!$A58)+LEN(H$2))-FIND(H$2,Mail!$A58)-LEN(H$2)-1)))))</f>
        <v/>
      </c>
      <c r="I60" s="8" t="str">
        <f>TRIM(CLEAN(IF(ISERROR(FIND(I$2,Mail!$A58)),"",MID(Mail!$A58,FIND(I$2,Mail!$A58)+LEN(I$2)+1,IF(ISERROR(FIND("■",Mail!$A58,FIND(I$2,Mail!$A58)+LEN(I$2))-FIND(I$2,Mail!$A58)-LEN(I$2)),LEN(Mail!$A58)-60-FIND(I$2,Mail!$A58)-LEN(I$2),FIND("■",Mail!$A58,FIND(I$2,Mail!$A58)+LEN(I$2))-FIND(I$2,Mail!$A58)-LEN(I$2)-1)))))</f>
        <v/>
      </c>
      <c r="J60" s="8" t="str">
        <f>TRIM(IF(ISERROR(FIND(J$2,Mail!$A58)),"",MID(Mail!$A58,FIND(J$2,Mail!$A58)+LEN(J$2)+1,IF(ISERROR(FIND("■",Mail!$A58,FIND(J$2,Mail!$A58)+LEN(J$2))-FIND(J$2,Mail!$A58)-LEN(J$2)),LEN(Mail!$A58)-60-FIND(J$2,Mail!$A58)-LEN(J$2),FIND("■",Mail!$A58,FIND(J$2,Mail!$A58)+LEN(J$2))-FIND(J$2,Mail!$A58)-LEN(J$2)-1))))</f>
        <v/>
      </c>
      <c r="K60" s="8" t="str">
        <f>TRIM(IF(ISERROR(FIND(K$2,Mail!$A58)),"",MID(Mail!$A58,FIND(K$2,Mail!$A58)+LEN(K$2)+1,IF(ISERROR(FIND("■",Mail!$A58,FIND(K$2,Mail!$A58)+LEN(K$2))-FIND(K$2,Mail!$A58)-LEN(K$2)),LEN(Mail!$A58)-60-FIND(K$2,Mail!$A58)-LEN(K$2),FIND("■",Mail!$A58,FIND(K$2,Mail!$A58)+LEN(K$2))-FIND(K$2,Mail!$A58)-LEN(K$2)-1))))</f>
        <v/>
      </c>
      <c r="L60" s="8" t="str">
        <f>TRIM(IF(ISERROR(FIND(L$2,Mail!$A58)),"",MID(Mail!$A58,FIND(L$2,Mail!$A58)+LEN(L$2)+1,IF(ISERROR(FIND("■",Mail!$A58,FIND(L$2,Mail!$A58)+LEN(L$2))-FIND(L$2,Mail!$A58)-LEN(L$2)),LEN(Mail!$A58)-60-FIND(L$2,Mail!$A58)-LEN(L$2),FIND("■",Mail!$A58,FIND(L$2,Mail!$A58)+LEN(L$2))-FIND(L$2,Mail!$A58)-LEN(L$2)-1))))</f>
        <v/>
      </c>
      <c r="M60" s="8" t="str">
        <f>TRIM(CLEAN(IF(ISERROR(FIND(M$2,Mail!$A58)),"",MID(Mail!$A58,FIND(M$2,Mail!$A58)+LEN(M$2)+1,IF(ISERROR(FIND("■",Mail!$A58,FIND(M$2,Mail!$A58)+LEN(M$2))-FIND(M$2,Mail!$A58)-LEN(M$2)),LEN(Mail!$A58)-60-FIND(M$2,Mail!$A58)-LEN(M$2),FIND("■",Mail!$A58,FIND(M$2,Mail!$A58)+LEN(M$2))-FIND(M$2,Mail!$A58)-LEN(M$2)-1)))))</f>
        <v/>
      </c>
      <c r="N60" s="8" t="str">
        <f>TRIM(CLEAN(IF(ISERROR(FIND(N$2,Mail!$A58)),"",MID(Mail!$A58,FIND(N$2,Mail!$A58)+LEN(N$2)+1,IF(ISERROR(FIND("■",Mail!$A58,FIND(N$2,Mail!$A58)+LEN(N$2))-FIND(N$2,Mail!$A58)-LEN(N$2)),LEN(Mail!$A58)-60-FIND(N$2,Mail!$A58)-LEN(N$2),FIND("■",Mail!$A58,FIND(N$2,Mail!$A58)+LEN(N$2))-FIND(N$2,Mail!$A58)-LEN(N$2)-1)))))</f>
        <v/>
      </c>
      <c r="O60" s="8" t="str">
        <f>TRIM(CLEAN(IF(ISERROR(FIND(O$2,Mail!$A58)),"",MID(Mail!$A58,FIND(O$2,Mail!$A58)+LEN(O$2)+1,IF(ISERROR(FIND("■",Mail!$A58,FIND(O$2,Mail!$A58)+LEN(O$2))-FIND(O$2,Mail!$A58)-LEN(O$2)),LEN(Mail!$A58)-60-FIND(O$2,Mail!$A58)-LEN(O$2),FIND("■",Mail!$A58,FIND(O$2,Mail!$A58)+LEN(O$2))-FIND(O$2,Mail!$A58)-LEN(O$2)-1)))))</f>
        <v/>
      </c>
      <c r="P60" s="8" t="str">
        <f>TRIM(CLEAN(IF(ISERROR(FIND(P$2,Mail!$A58)),"",MID(Mail!$A58,FIND(P$2,Mail!$A58)+LEN(P$2)+1,IF(ISERROR(FIND("■",Mail!$A58,FIND(P$2,Mail!$A58)+LEN(P$2))-FIND(P$2,Mail!$A58)-LEN(P$2)),LEN(Mail!$A58)-60-FIND(P$2,Mail!$A58)-LEN(P$2),FIND("■",Mail!$A58,FIND(P$2,Mail!$A58)+LEN(P$2))-FIND(P$2,Mail!$A58)-LEN(P$2)-1)))))</f>
        <v/>
      </c>
      <c r="Q60" s="8" t="str">
        <f>TRIM(CLEAN(IF(ISERROR(FIND(Q$2,Mail!$A58)),"",MID(Mail!$A58,FIND(Q$2,Mail!$A58)+LEN(Q$2)+1,IF(ISERROR(FIND("■",Mail!$A58,FIND(Q$2,Mail!$A58)+LEN(Q$2))-FIND(Q$2,Mail!$A58)-LEN(Q$2)),LEN(Mail!$A58)-60-FIND(Q$2,Mail!$A58)-LEN(Q$2),FIND("■",Mail!$A58,FIND(Q$2,Mail!$A58)+LEN(Q$2))-FIND(Q$2,Mail!$A58)-LEN(Q$2)-1)))))</f>
        <v/>
      </c>
      <c r="R60" s="8" t="str">
        <f>TRIM(CLEAN(IF(ISERROR(FIND(R$2,Mail!$A58)),"",MID(Mail!$A58,FIND(R$2,Mail!$A58)+LEN(R$2)+1,IF(ISERROR(FIND("■",Mail!$A58,FIND(R$2,Mail!$A58)+LEN(R$2))-FIND(R$2,Mail!$A58)-LEN(R$2)),LEN(Mail!$A58)-60-FIND(R$2,Mail!$A58)-LEN(R$2),FIND("■",Mail!$A58,FIND(R$2,Mail!$A58)+LEN(R$2))-FIND(R$2,Mail!$A58)-LEN(R$2)-1)))))</f>
        <v/>
      </c>
      <c r="S60" s="8" t="str">
        <f>TRIM(CLEAN(IF(ISERROR(FIND(S$2,Mail!$A58)),"",MID(Mail!$A58,FIND(S$2,Mail!$A58)+LEN(S$2)+1,IF(ISERROR(FIND("■",Mail!$A58,FIND(S$2,Mail!$A58)+LEN(S$2))-FIND(S$2,Mail!$A58)-LEN(S$2)),LEN(Mail!$A58)-60-FIND(S$2,Mail!$A58)-LEN(S$2),FIND("■",Mail!$A58,FIND(S$2,Mail!$A58)+LEN(S$2))-FIND(S$2,Mail!$A58)-LEN(S$2)-1)))))</f>
        <v/>
      </c>
      <c r="T60" s="8" t="str">
        <f>TRIM(CLEAN(IF(ISERROR(FIND(T$2,Mail!$A58)),"",MID(Mail!$A58,FIND(T$2,Mail!$A58)+LEN(T$2)+1,IF(ISERROR(FIND("■",Mail!$A58,FIND(T$2,Mail!$A58)+LEN(T$2))-FIND(T$2,Mail!$A58)-LEN(T$2)),LEN(Mail!$A58)-60-FIND(T$2,Mail!$A58)-LEN(T$2),FIND("■",Mail!$A58,FIND(T$2,Mail!$A58)+LEN(T$2))-FIND(T$2,Mail!$A58)-LEN(T$2)-1)))))</f>
        <v/>
      </c>
      <c r="U60" s="8" t="str">
        <f>TRIM(CLEAN(IF(ISERROR(FIND(U$2,Mail!$A58)),"",MID(Mail!$A58,FIND(U$2,Mail!$A58)+LEN(U$2)+1,IF(ISERROR(FIND("■",Mail!$A58,FIND(U$2,Mail!$A58)+LEN(U$2))-FIND(U$2,Mail!$A58)-LEN(U$2)),LEN(Mail!$A58)-60-FIND(U$2,Mail!$A58)-LEN(U$2),FIND("■",Mail!$A58,FIND(U$2,Mail!$A58)+LEN(U$2))-FIND(U$2,Mail!$A58)-LEN(U$2)-1)))))</f>
        <v/>
      </c>
      <c r="V60" s="8" t="str">
        <f>TRIM(CLEAN(IF(ISERROR(FIND(V$2,Mail!$A58)),"",MID(Mail!$A58,FIND(V$2,Mail!$A58)+LEN(V$2)+1,IF(ISERROR(FIND("■",Mail!$A58,FIND(V$2,Mail!$A58)+LEN(V$2))-FIND(V$2,Mail!$A58)-LEN(V$2)),LEN(Mail!$A58)-60-FIND(V$2,Mail!$A58)-LEN(V$2),FIND("■",Mail!$A58,FIND(V$2,Mail!$A58)+LEN(V$2))-FIND(V$2,Mail!$A58)-LEN(V$2)-1)))))</f>
        <v/>
      </c>
      <c r="W60" s="8" t="str">
        <f>TRIM(CLEAN(IF(ISERROR(FIND(W$2,Mail!$A58)),"",MID(Mail!$A58,FIND(W$2,Mail!$A58)+LEN(W$2)+1,IF(ISERROR(FIND("■",Mail!$A58,FIND(W$2,Mail!$A58)+LEN(W$2))-FIND(W$2,Mail!$A58)-LEN(W$2)),LEN(Mail!$A58)-60-FIND(W$2,Mail!$A58)-LEN(W$2),FIND("■",Mail!$A58,FIND(W$2,Mail!$A58)+LEN(W$2))-FIND(W$2,Mail!$A58)-LEN(W$2)-1)))))</f>
        <v/>
      </c>
      <c r="X60" s="8" t="str">
        <f>TRIM(IF(ISERROR(FIND(X$2,Mail!$A58)),"",MID(Mail!$A58,FIND(X$2,Mail!$A58)+LEN(X$2)+1,IF(ISERROR(FIND("■",Mail!$A58,FIND(X$2,Mail!$A58)+LEN(X$2))-FIND(X$2,Mail!$A58)-LEN(X$2)),LEN(Mail!$A58)-60-FIND(X$2,Mail!$A58)-LEN(X$2),FIND("■",Mail!$A58,FIND(X$2,Mail!$A58)+LEN(X$2))-FIND(X$2,Mail!$A58)-LEN(X$2)-1))))</f>
        <v/>
      </c>
      <c r="Y60" s="8" t="str">
        <f>TRIM(CLEAN(IF(ISERROR(FIND(Y$2,Mail!$A58)),"",MID(Mail!$A58,FIND(Y$2,Mail!$A58)+LEN(Y$2)+1,IF(ISERROR(FIND("■",Mail!$A58,FIND(Y$2,Mail!$A58)+LEN(Y$2))-FIND(Y$2,Mail!$A58)-LEN(Y$2)),LEN(Mail!$A58)-60-FIND(Y$2,Mail!$A58)-LEN(Y$2),FIND("■",Mail!$A58,FIND(Y$2,Mail!$A58)+LEN(Y$2))-FIND(Y$2,Mail!$A58)-LEN(Y$2)-1)))))</f>
        <v/>
      </c>
      <c r="Z60" s="8" t="str">
        <f>TRIM(CLEAN(IF(ISERROR(FIND(Z$2,Mail!$A58)),"",MID(Mail!$A58,FIND(Z$2,Mail!$A58)+LEN(Z$2)+1,IF(ISERROR(FIND("■",Mail!$A58,FIND(Z$2,Mail!$A58)+LEN(Z$2))-FIND(Z$2,Mail!$A58)-LEN(Z$2)),LEN(Mail!$A58)-60-FIND(Z$2,Mail!$A58)-LEN(Z$2),FIND("■",Mail!$A58,FIND(Z$2,Mail!$A58)+LEN(Z$2))-FIND(Z$2,Mail!$A58)-LEN(Z$2)-1)))))</f>
        <v/>
      </c>
      <c r="AA60" s="8" t="str">
        <f>TRIM(CLEAN(IF(ISERROR(FIND(AA$2,Mail!$A58)),"",MID(Mail!$A58,FIND(AA$2,Mail!$A58)+LEN(AA$2)+1,IF(ISERROR(FIND("■",Mail!$A58,FIND(AA$2,Mail!$A58)+LEN(AA$2))-FIND(AA$2,Mail!$A58)-LEN(AA$2)),LEN(Mail!$A58)-60-FIND(AA$2,Mail!$A58)-LEN(AA$2),FIND("■",Mail!$A58,FIND(AA$2,Mail!$A58)+LEN(AA$2))-FIND(AA$2,Mail!$A58)-LEN(AA$2)-1)))))</f>
        <v/>
      </c>
      <c r="AB60" s="8" t="str">
        <f>TRIM(CLEAN(IF(ISERROR(FIND(AB$2,Mail!$A58)),"",MID(Mail!$A58,FIND(AB$2,Mail!$A58)+LEN(AB$2)+1,IF(ISERROR(FIND("■",Mail!$A58,FIND(AB$2,Mail!$A58)+LEN(AB$2))-FIND(AB$2,Mail!$A58)-LEN(AB$2)),LEN(Mail!$A58)-60-FIND(AB$2,Mail!$A58)-LEN(AB$2),FIND("■",Mail!$A58,FIND(AB$2,Mail!$A58)+LEN(AB$2))-FIND(AB$2,Mail!$A58)-LEN(AB$2)-1)))))</f>
        <v/>
      </c>
      <c r="AC60" s="8" t="str">
        <f>TRIM(CLEAN(IF(ISERROR(FIND(AC$2,Mail!$A58)),"",MID(Mail!$A58,FIND(AC$2,Mail!$A58)+LEN(AC$2)+1,IF(ISERROR(FIND("■",Mail!$A58,FIND(AC$2,Mail!$A58)+LEN(AC$2))-FIND(AC$2,Mail!$A58)-LEN(AC$2)),LEN(Mail!$A58)-60-FIND(AC$2,Mail!$A58)-LEN(AC$2),FIND("■",Mail!$A58,FIND(AC$2,Mail!$A58)+LEN(AC$2))-FIND(AC$2,Mail!$A58)-LEN(AC$2)-1)))))</f>
        <v/>
      </c>
      <c r="AD60" s="8" t="str">
        <f>TRIM(CLEAN(IF(ISERROR(FIND(AD$2,Mail!$A58)),"",MID(Mail!$A58,FIND(AD$2,Mail!$A58)+LEN(AD$2)+1,IF(ISERROR(FIND("■",Mail!$A58,FIND(AD$2,Mail!$A58)+LEN(AD$2))-FIND(AD$2,Mail!$A58)-LEN(AD$2)),LEN(Mail!$A58)-60-FIND(AD$2,Mail!$A58)-LEN(AD$2),FIND("■",Mail!$A58,FIND(AD$2,Mail!$A58)+LEN(AD$2))-FIND(AD$2,Mail!$A58)-LEN(AD$2)-1)))))</f>
        <v/>
      </c>
      <c r="AE60" s="8" t="str">
        <f>TRIM(CLEAN(IF(ISERROR(FIND(AE$2,Mail!$A58)),"",MID(Mail!$A58,FIND(AE$2,Mail!$A58)+LEN(AE$2)+1,IF(ISERROR(FIND("■",Mail!$A58,FIND(AE$2,Mail!$A58)+LEN(AE$2))-FIND(AE$2,Mail!$A58)-LEN(AE$2)),LEN(Mail!$A58)-60-FIND(AE$2,Mail!$A58)-LEN(AE$2),FIND("■",Mail!$A58,FIND(AE$2,Mail!$A58)+LEN(AE$2))-FIND(AE$2,Mail!$A58)-LEN(AE$2)-1)))))</f>
        <v/>
      </c>
      <c r="AF60" s="8" t="str">
        <f>TRIM(CLEAN(IF(ISERROR(FIND(AF$2,Mail!$A58)),"",MID(Mail!$A58,FIND(AF$2,Mail!$A58)+LEN(AF$2)+1,IF(ISERROR(FIND("■",Mail!$A58,FIND(AF$2,Mail!$A58)+LEN(AF$2))-FIND(AF$2,Mail!$A58)-LEN(AF$2)),LEN(Mail!$A58)-60-FIND(AF$2,Mail!$A58)-LEN(AF$2),FIND("■",Mail!$A58,FIND(AF$2,Mail!$A58)+LEN(AF$2))-FIND(AF$2,Mail!$A58)-LEN(AF$2)-1)))))</f>
        <v/>
      </c>
      <c r="AG60" s="8" t="str">
        <f>TRIM(IF(ISERROR(FIND(AG$2,Mail!$A58)),"",MID(Mail!$A58,FIND(AG$2,Mail!$A58)+LEN(AG$2)+1,IF(ISERROR(FIND("■",Mail!$A58,FIND(AG$2,Mail!$A58)+LEN(AG$2))-FIND(AG$2,Mail!$A58)-LEN(AG$2)),LEN(Mail!$A58)-60-FIND(AG$2,Mail!$A58)-LEN(AG$2),FIND("■",Mail!$A58,FIND(AG$2,Mail!$A58)+LEN(AG$2))-FIND(AG$2,Mail!$A58)-LEN(AG$2)-1))))</f>
        <v/>
      </c>
      <c r="AH60" s="8" t="str">
        <f>TRIM(IF(ISERROR(FIND(AH$2,Mail!$A58)),"",MID(Mail!$A58,FIND(AH$2,Mail!$A58)+LEN(AH$2)+1,IF(ISERROR(FIND("■",Mail!$A58,FIND(AH$2,Mail!$A58)+LEN(AH$2))-FIND(AH$2,Mail!$A58)-LEN(AH$2)),LEN(Mail!$A58)-60-FIND(AH$2,Mail!$A58)-LEN(AH$2),FIND("■",Mail!$A58,FIND(AH$2,Mail!$A58)+LEN(AH$2))-FIND(AH$2,Mail!$A58)-LEN(AH$2)-1))))</f>
        <v/>
      </c>
      <c r="AI60" s="8" t="str">
        <f>TRIM(IF(ISERROR(FIND(AI$2,Mail!$A58)),"",MID(Mail!$A58,FIND(AI$2,Mail!$A58)+LEN(AI$2)+1,IF(ISERROR(FIND("■",Mail!$A58,FIND(AI$2,Mail!$A58)+LEN(AI$2))-FIND(AI$2,Mail!$A58)-LEN(AI$2)),LEN(Mail!$A58)-60-FIND(AI$2,Mail!$A58)-LEN(AI$2),FIND("■",Mail!$A58,FIND(AI$2,Mail!$A58)+LEN(AI$2))-FIND(AI$2,Mail!$A58)-LEN(AI$2)-1))))</f>
        <v/>
      </c>
    </row>
    <row r="61" spans="1:35" s="8" customFormat="1" x14ac:dyDescent="0.15">
      <c r="A61" s="9" t="str">
        <f t="shared" si="1"/>
        <v/>
      </c>
      <c r="B61" s="8" t="str">
        <f>CLEAN(SUBSTITUTE(IF(ISERROR(FIND("yokohama",Mail!$A59)),"",MID(Mail!$A59,FIND("yokohama",Mail!$A59)+LEN("yokohama")+1,FIND("件目",Mail!$A59,FIND("yokohama",Mail!$A59))-(FIND("yokohama",Mail!$A59)+LEN("yokohama")+1)))," ",""))</f>
        <v/>
      </c>
      <c r="C61" s="9" t="str">
        <f t="shared" si="4"/>
        <v/>
      </c>
      <c r="D61" s="9" t="str">
        <f t="shared" si="2"/>
        <v/>
      </c>
      <c r="E61" s="8" t="str">
        <f t="shared" si="3"/>
        <v/>
      </c>
      <c r="F61" s="8" t="str">
        <f>TRIM(CLEAN(IF(ISERROR(FIND(F$2,Mail!$A59)),"",MID(Mail!$A59,FIND(F$2,Mail!$A59)+LEN(F$2)+1,IF(ISERROR(FIND("■",Mail!$A59,FIND(F$2,Mail!$A59)+LEN(F$2))-FIND(F$2,Mail!$A59)-LEN(F$2)),LEN(Mail!$A59)-60-FIND(F$2,Mail!$A59)-LEN(F$2),FIND("■",Mail!$A59,FIND(F$2,Mail!$A59)+LEN(F$2))-FIND(F$2,Mail!$A59)-LEN(F$2)-1)))))</f>
        <v/>
      </c>
      <c r="G61" s="8" t="str">
        <f>TRIM(CLEAN(IF(ISERROR(FIND(G$2,Mail!$A59)),"",MID(Mail!$A59,FIND(G$2,Mail!$A59)+LEN(G$2)+1,IF(ISERROR(FIND("■",Mail!$A59,FIND(G$2,Mail!$A59)+LEN(G$2))-FIND(G$2,Mail!$A59)-LEN(G$2)),LEN(Mail!$A59)-60-FIND(G$2,Mail!$A59)-LEN(G$2),FIND("■",Mail!$A59,FIND(G$2,Mail!$A59)+LEN(G$2))-FIND(G$2,Mail!$A59)-LEN(G$2)-1)))))</f>
        <v/>
      </c>
      <c r="H61" s="8" t="str">
        <f>TRIM(CLEAN(IF(ISERROR(FIND(H$2,Mail!$A59)),"",MID(Mail!$A59,FIND(H$2,Mail!$A59)+LEN(H$2)+1,IF(ISERROR(FIND("■",Mail!$A59,FIND(H$2,Mail!$A59)+LEN(H$2))-FIND(H$2,Mail!$A59)-LEN(H$2)),LEN(Mail!$A59)-60-FIND(H$2,Mail!$A59)-LEN(H$2),FIND("■",Mail!$A59,FIND(H$2,Mail!$A59)+LEN(H$2))-FIND(H$2,Mail!$A59)-LEN(H$2)-1)))))</f>
        <v/>
      </c>
      <c r="I61" s="8" t="str">
        <f>TRIM(CLEAN(IF(ISERROR(FIND(I$2,Mail!$A59)),"",MID(Mail!$A59,FIND(I$2,Mail!$A59)+LEN(I$2)+1,IF(ISERROR(FIND("■",Mail!$A59,FIND(I$2,Mail!$A59)+LEN(I$2))-FIND(I$2,Mail!$A59)-LEN(I$2)),LEN(Mail!$A59)-60-FIND(I$2,Mail!$A59)-LEN(I$2),FIND("■",Mail!$A59,FIND(I$2,Mail!$A59)+LEN(I$2))-FIND(I$2,Mail!$A59)-LEN(I$2)-1)))))</f>
        <v/>
      </c>
      <c r="J61" s="8" t="str">
        <f>TRIM(IF(ISERROR(FIND(J$2,Mail!$A59)),"",MID(Mail!$A59,FIND(J$2,Mail!$A59)+LEN(J$2)+1,IF(ISERROR(FIND("■",Mail!$A59,FIND(J$2,Mail!$A59)+LEN(J$2))-FIND(J$2,Mail!$A59)-LEN(J$2)),LEN(Mail!$A59)-60-FIND(J$2,Mail!$A59)-LEN(J$2),FIND("■",Mail!$A59,FIND(J$2,Mail!$A59)+LEN(J$2))-FIND(J$2,Mail!$A59)-LEN(J$2)-1))))</f>
        <v/>
      </c>
      <c r="K61" s="8" t="str">
        <f>TRIM(IF(ISERROR(FIND(K$2,Mail!$A59)),"",MID(Mail!$A59,FIND(K$2,Mail!$A59)+LEN(K$2)+1,IF(ISERROR(FIND("■",Mail!$A59,FIND(K$2,Mail!$A59)+LEN(K$2))-FIND(K$2,Mail!$A59)-LEN(K$2)),LEN(Mail!$A59)-60-FIND(K$2,Mail!$A59)-LEN(K$2),FIND("■",Mail!$A59,FIND(K$2,Mail!$A59)+LEN(K$2))-FIND(K$2,Mail!$A59)-LEN(K$2)-1))))</f>
        <v/>
      </c>
      <c r="L61" s="8" t="str">
        <f>TRIM(IF(ISERROR(FIND(L$2,Mail!$A59)),"",MID(Mail!$A59,FIND(L$2,Mail!$A59)+LEN(L$2)+1,IF(ISERROR(FIND("■",Mail!$A59,FIND(L$2,Mail!$A59)+LEN(L$2))-FIND(L$2,Mail!$A59)-LEN(L$2)),LEN(Mail!$A59)-60-FIND(L$2,Mail!$A59)-LEN(L$2),FIND("■",Mail!$A59,FIND(L$2,Mail!$A59)+LEN(L$2))-FIND(L$2,Mail!$A59)-LEN(L$2)-1))))</f>
        <v/>
      </c>
      <c r="M61" s="8" t="str">
        <f>TRIM(CLEAN(IF(ISERROR(FIND(M$2,Mail!$A59)),"",MID(Mail!$A59,FIND(M$2,Mail!$A59)+LEN(M$2)+1,IF(ISERROR(FIND("■",Mail!$A59,FIND(M$2,Mail!$A59)+LEN(M$2))-FIND(M$2,Mail!$A59)-LEN(M$2)),LEN(Mail!$A59)-60-FIND(M$2,Mail!$A59)-LEN(M$2),FIND("■",Mail!$A59,FIND(M$2,Mail!$A59)+LEN(M$2))-FIND(M$2,Mail!$A59)-LEN(M$2)-1)))))</f>
        <v/>
      </c>
      <c r="N61" s="8" t="str">
        <f>TRIM(CLEAN(IF(ISERROR(FIND(N$2,Mail!$A59)),"",MID(Mail!$A59,FIND(N$2,Mail!$A59)+LEN(N$2)+1,IF(ISERROR(FIND("■",Mail!$A59,FIND(N$2,Mail!$A59)+LEN(N$2))-FIND(N$2,Mail!$A59)-LEN(N$2)),LEN(Mail!$A59)-60-FIND(N$2,Mail!$A59)-LEN(N$2),FIND("■",Mail!$A59,FIND(N$2,Mail!$A59)+LEN(N$2))-FIND(N$2,Mail!$A59)-LEN(N$2)-1)))))</f>
        <v/>
      </c>
      <c r="O61" s="8" t="str">
        <f>TRIM(CLEAN(IF(ISERROR(FIND(O$2,Mail!$A59)),"",MID(Mail!$A59,FIND(O$2,Mail!$A59)+LEN(O$2)+1,IF(ISERROR(FIND("■",Mail!$A59,FIND(O$2,Mail!$A59)+LEN(O$2))-FIND(O$2,Mail!$A59)-LEN(O$2)),LEN(Mail!$A59)-60-FIND(O$2,Mail!$A59)-LEN(O$2),FIND("■",Mail!$A59,FIND(O$2,Mail!$A59)+LEN(O$2))-FIND(O$2,Mail!$A59)-LEN(O$2)-1)))))</f>
        <v/>
      </c>
      <c r="P61" s="8" t="str">
        <f>TRIM(CLEAN(IF(ISERROR(FIND(P$2,Mail!$A59)),"",MID(Mail!$A59,FIND(P$2,Mail!$A59)+LEN(P$2)+1,IF(ISERROR(FIND("■",Mail!$A59,FIND(P$2,Mail!$A59)+LEN(P$2))-FIND(P$2,Mail!$A59)-LEN(P$2)),LEN(Mail!$A59)-60-FIND(P$2,Mail!$A59)-LEN(P$2),FIND("■",Mail!$A59,FIND(P$2,Mail!$A59)+LEN(P$2))-FIND(P$2,Mail!$A59)-LEN(P$2)-1)))))</f>
        <v/>
      </c>
      <c r="Q61" s="8" t="str">
        <f>TRIM(CLEAN(IF(ISERROR(FIND(Q$2,Mail!$A59)),"",MID(Mail!$A59,FIND(Q$2,Mail!$A59)+LEN(Q$2)+1,IF(ISERROR(FIND("■",Mail!$A59,FIND(Q$2,Mail!$A59)+LEN(Q$2))-FIND(Q$2,Mail!$A59)-LEN(Q$2)),LEN(Mail!$A59)-60-FIND(Q$2,Mail!$A59)-LEN(Q$2),FIND("■",Mail!$A59,FIND(Q$2,Mail!$A59)+LEN(Q$2))-FIND(Q$2,Mail!$A59)-LEN(Q$2)-1)))))</f>
        <v/>
      </c>
      <c r="R61" s="8" t="str">
        <f>TRIM(CLEAN(IF(ISERROR(FIND(R$2,Mail!$A59)),"",MID(Mail!$A59,FIND(R$2,Mail!$A59)+LEN(R$2)+1,IF(ISERROR(FIND("■",Mail!$A59,FIND(R$2,Mail!$A59)+LEN(R$2))-FIND(R$2,Mail!$A59)-LEN(R$2)),LEN(Mail!$A59)-60-FIND(R$2,Mail!$A59)-LEN(R$2),FIND("■",Mail!$A59,FIND(R$2,Mail!$A59)+LEN(R$2))-FIND(R$2,Mail!$A59)-LEN(R$2)-1)))))</f>
        <v/>
      </c>
      <c r="S61" s="8" t="str">
        <f>TRIM(CLEAN(IF(ISERROR(FIND(S$2,Mail!$A59)),"",MID(Mail!$A59,FIND(S$2,Mail!$A59)+LEN(S$2)+1,IF(ISERROR(FIND("■",Mail!$A59,FIND(S$2,Mail!$A59)+LEN(S$2))-FIND(S$2,Mail!$A59)-LEN(S$2)),LEN(Mail!$A59)-60-FIND(S$2,Mail!$A59)-LEN(S$2),FIND("■",Mail!$A59,FIND(S$2,Mail!$A59)+LEN(S$2))-FIND(S$2,Mail!$A59)-LEN(S$2)-1)))))</f>
        <v/>
      </c>
      <c r="T61" s="8" t="str">
        <f>TRIM(CLEAN(IF(ISERROR(FIND(T$2,Mail!$A59)),"",MID(Mail!$A59,FIND(T$2,Mail!$A59)+LEN(T$2)+1,IF(ISERROR(FIND("■",Mail!$A59,FIND(T$2,Mail!$A59)+LEN(T$2))-FIND(T$2,Mail!$A59)-LEN(T$2)),LEN(Mail!$A59)-60-FIND(T$2,Mail!$A59)-LEN(T$2),FIND("■",Mail!$A59,FIND(T$2,Mail!$A59)+LEN(T$2))-FIND(T$2,Mail!$A59)-LEN(T$2)-1)))))</f>
        <v/>
      </c>
      <c r="U61" s="8" t="str">
        <f>TRIM(CLEAN(IF(ISERROR(FIND(U$2,Mail!$A59)),"",MID(Mail!$A59,FIND(U$2,Mail!$A59)+LEN(U$2)+1,IF(ISERROR(FIND("■",Mail!$A59,FIND(U$2,Mail!$A59)+LEN(U$2))-FIND(U$2,Mail!$A59)-LEN(U$2)),LEN(Mail!$A59)-60-FIND(U$2,Mail!$A59)-LEN(U$2),FIND("■",Mail!$A59,FIND(U$2,Mail!$A59)+LEN(U$2))-FIND(U$2,Mail!$A59)-LEN(U$2)-1)))))</f>
        <v/>
      </c>
      <c r="V61" s="8" t="str">
        <f>TRIM(CLEAN(IF(ISERROR(FIND(V$2,Mail!$A59)),"",MID(Mail!$A59,FIND(V$2,Mail!$A59)+LEN(V$2)+1,IF(ISERROR(FIND("■",Mail!$A59,FIND(V$2,Mail!$A59)+LEN(V$2))-FIND(V$2,Mail!$A59)-LEN(V$2)),LEN(Mail!$A59)-60-FIND(V$2,Mail!$A59)-LEN(V$2),FIND("■",Mail!$A59,FIND(V$2,Mail!$A59)+LEN(V$2))-FIND(V$2,Mail!$A59)-LEN(V$2)-1)))))</f>
        <v/>
      </c>
      <c r="W61" s="8" t="str">
        <f>TRIM(CLEAN(IF(ISERROR(FIND(W$2,Mail!$A59)),"",MID(Mail!$A59,FIND(W$2,Mail!$A59)+LEN(W$2)+1,IF(ISERROR(FIND("■",Mail!$A59,FIND(W$2,Mail!$A59)+LEN(W$2))-FIND(W$2,Mail!$A59)-LEN(W$2)),LEN(Mail!$A59)-60-FIND(W$2,Mail!$A59)-LEN(W$2),FIND("■",Mail!$A59,FIND(W$2,Mail!$A59)+LEN(W$2))-FIND(W$2,Mail!$A59)-LEN(W$2)-1)))))</f>
        <v/>
      </c>
      <c r="X61" s="8" t="str">
        <f>TRIM(IF(ISERROR(FIND(X$2,Mail!$A59)),"",MID(Mail!$A59,FIND(X$2,Mail!$A59)+LEN(X$2)+1,IF(ISERROR(FIND("■",Mail!$A59,FIND(X$2,Mail!$A59)+LEN(X$2))-FIND(X$2,Mail!$A59)-LEN(X$2)),LEN(Mail!$A59)-60-FIND(X$2,Mail!$A59)-LEN(X$2),FIND("■",Mail!$A59,FIND(X$2,Mail!$A59)+LEN(X$2))-FIND(X$2,Mail!$A59)-LEN(X$2)-1))))</f>
        <v/>
      </c>
      <c r="Y61" s="8" t="str">
        <f>TRIM(CLEAN(IF(ISERROR(FIND(Y$2,Mail!$A59)),"",MID(Mail!$A59,FIND(Y$2,Mail!$A59)+LEN(Y$2)+1,IF(ISERROR(FIND("■",Mail!$A59,FIND(Y$2,Mail!$A59)+LEN(Y$2))-FIND(Y$2,Mail!$A59)-LEN(Y$2)),LEN(Mail!$A59)-60-FIND(Y$2,Mail!$A59)-LEN(Y$2),FIND("■",Mail!$A59,FIND(Y$2,Mail!$A59)+LEN(Y$2))-FIND(Y$2,Mail!$A59)-LEN(Y$2)-1)))))</f>
        <v/>
      </c>
      <c r="Z61" s="8" t="str">
        <f>TRIM(CLEAN(IF(ISERROR(FIND(Z$2,Mail!$A59)),"",MID(Mail!$A59,FIND(Z$2,Mail!$A59)+LEN(Z$2)+1,IF(ISERROR(FIND("■",Mail!$A59,FIND(Z$2,Mail!$A59)+LEN(Z$2))-FIND(Z$2,Mail!$A59)-LEN(Z$2)),LEN(Mail!$A59)-60-FIND(Z$2,Mail!$A59)-LEN(Z$2),FIND("■",Mail!$A59,FIND(Z$2,Mail!$A59)+LEN(Z$2))-FIND(Z$2,Mail!$A59)-LEN(Z$2)-1)))))</f>
        <v/>
      </c>
      <c r="AA61" s="8" t="str">
        <f>TRIM(CLEAN(IF(ISERROR(FIND(AA$2,Mail!$A59)),"",MID(Mail!$A59,FIND(AA$2,Mail!$A59)+LEN(AA$2)+1,IF(ISERROR(FIND("■",Mail!$A59,FIND(AA$2,Mail!$A59)+LEN(AA$2))-FIND(AA$2,Mail!$A59)-LEN(AA$2)),LEN(Mail!$A59)-60-FIND(AA$2,Mail!$A59)-LEN(AA$2),FIND("■",Mail!$A59,FIND(AA$2,Mail!$A59)+LEN(AA$2))-FIND(AA$2,Mail!$A59)-LEN(AA$2)-1)))))</f>
        <v/>
      </c>
      <c r="AB61" s="8" t="str">
        <f>TRIM(CLEAN(IF(ISERROR(FIND(AB$2,Mail!$A59)),"",MID(Mail!$A59,FIND(AB$2,Mail!$A59)+LEN(AB$2)+1,IF(ISERROR(FIND("■",Mail!$A59,FIND(AB$2,Mail!$A59)+LEN(AB$2))-FIND(AB$2,Mail!$A59)-LEN(AB$2)),LEN(Mail!$A59)-60-FIND(AB$2,Mail!$A59)-LEN(AB$2),FIND("■",Mail!$A59,FIND(AB$2,Mail!$A59)+LEN(AB$2))-FIND(AB$2,Mail!$A59)-LEN(AB$2)-1)))))</f>
        <v/>
      </c>
      <c r="AC61" s="8" t="str">
        <f>TRIM(CLEAN(IF(ISERROR(FIND(AC$2,Mail!$A59)),"",MID(Mail!$A59,FIND(AC$2,Mail!$A59)+LEN(AC$2)+1,IF(ISERROR(FIND("■",Mail!$A59,FIND(AC$2,Mail!$A59)+LEN(AC$2))-FIND(AC$2,Mail!$A59)-LEN(AC$2)),LEN(Mail!$A59)-60-FIND(AC$2,Mail!$A59)-LEN(AC$2),FIND("■",Mail!$A59,FIND(AC$2,Mail!$A59)+LEN(AC$2))-FIND(AC$2,Mail!$A59)-LEN(AC$2)-1)))))</f>
        <v/>
      </c>
      <c r="AD61" s="8" t="str">
        <f>TRIM(CLEAN(IF(ISERROR(FIND(AD$2,Mail!$A59)),"",MID(Mail!$A59,FIND(AD$2,Mail!$A59)+LEN(AD$2)+1,IF(ISERROR(FIND("■",Mail!$A59,FIND(AD$2,Mail!$A59)+LEN(AD$2))-FIND(AD$2,Mail!$A59)-LEN(AD$2)),LEN(Mail!$A59)-60-FIND(AD$2,Mail!$A59)-LEN(AD$2),FIND("■",Mail!$A59,FIND(AD$2,Mail!$A59)+LEN(AD$2))-FIND(AD$2,Mail!$A59)-LEN(AD$2)-1)))))</f>
        <v/>
      </c>
      <c r="AE61" s="8" t="str">
        <f>TRIM(CLEAN(IF(ISERROR(FIND(AE$2,Mail!$A59)),"",MID(Mail!$A59,FIND(AE$2,Mail!$A59)+LEN(AE$2)+1,IF(ISERROR(FIND("■",Mail!$A59,FIND(AE$2,Mail!$A59)+LEN(AE$2))-FIND(AE$2,Mail!$A59)-LEN(AE$2)),LEN(Mail!$A59)-60-FIND(AE$2,Mail!$A59)-LEN(AE$2),FIND("■",Mail!$A59,FIND(AE$2,Mail!$A59)+LEN(AE$2))-FIND(AE$2,Mail!$A59)-LEN(AE$2)-1)))))</f>
        <v/>
      </c>
      <c r="AF61" s="8" t="str">
        <f>TRIM(CLEAN(IF(ISERROR(FIND(AF$2,Mail!$A59)),"",MID(Mail!$A59,FIND(AF$2,Mail!$A59)+LEN(AF$2)+1,IF(ISERROR(FIND("■",Mail!$A59,FIND(AF$2,Mail!$A59)+LEN(AF$2))-FIND(AF$2,Mail!$A59)-LEN(AF$2)),LEN(Mail!$A59)-60-FIND(AF$2,Mail!$A59)-LEN(AF$2),FIND("■",Mail!$A59,FIND(AF$2,Mail!$A59)+LEN(AF$2))-FIND(AF$2,Mail!$A59)-LEN(AF$2)-1)))))</f>
        <v/>
      </c>
      <c r="AG61" s="8" t="str">
        <f>TRIM(IF(ISERROR(FIND(AG$2,Mail!$A59)),"",MID(Mail!$A59,FIND(AG$2,Mail!$A59)+LEN(AG$2)+1,IF(ISERROR(FIND("■",Mail!$A59,FIND(AG$2,Mail!$A59)+LEN(AG$2))-FIND(AG$2,Mail!$A59)-LEN(AG$2)),LEN(Mail!$A59)-60-FIND(AG$2,Mail!$A59)-LEN(AG$2),FIND("■",Mail!$A59,FIND(AG$2,Mail!$A59)+LEN(AG$2))-FIND(AG$2,Mail!$A59)-LEN(AG$2)-1))))</f>
        <v/>
      </c>
      <c r="AH61" s="8" t="str">
        <f>TRIM(IF(ISERROR(FIND(AH$2,Mail!$A59)),"",MID(Mail!$A59,FIND(AH$2,Mail!$A59)+LEN(AH$2)+1,IF(ISERROR(FIND("■",Mail!$A59,FIND(AH$2,Mail!$A59)+LEN(AH$2))-FIND(AH$2,Mail!$A59)-LEN(AH$2)),LEN(Mail!$A59)-60-FIND(AH$2,Mail!$A59)-LEN(AH$2),FIND("■",Mail!$A59,FIND(AH$2,Mail!$A59)+LEN(AH$2))-FIND(AH$2,Mail!$A59)-LEN(AH$2)-1))))</f>
        <v/>
      </c>
      <c r="AI61" s="8" t="str">
        <f>TRIM(IF(ISERROR(FIND(AI$2,Mail!$A59)),"",MID(Mail!$A59,FIND(AI$2,Mail!$A59)+LEN(AI$2)+1,IF(ISERROR(FIND("■",Mail!$A59,FIND(AI$2,Mail!$A59)+LEN(AI$2))-FIND(AI$2,Mail!$A59)-LEN(AI$2)),LEN(Mail!$A59)-60-FIND(AI$2,Mail!$A59)-LEN(AI$2),FIND("■",Mail!$A59,FIND(AI$2,Mail!$A59)+LEN(AI$2))-FIND(AI$2,Mail!$A59)-LEN(AI$2)-1))))</f>
        <v/>
      </c>
    </row>
    <row r="62" spans="1:35" s="8" customFormat="1" x14ac:dyDescent="0.15">
      <c r="A62" s="9" t="str">
        <f t="shared" si="1"/>
        <v/>
      </c>
      <c r="B62" s="8" t="str">
        <f>CLEAN(SUBSTITUTE(IF(ISERROR(FIND("yokohama",Mail!$A60)),"",MID(Mail!$A60,FIND("yokohama",Mail!$A60)+LEN("yokohama")+1,FIND("件目",Mail!$A60,FIND("yokohama",Mail!$A60))-(FIND("yokohama",Mail!$A60)+LEN("yokohama")+1)))," ",""))</f>
        <v/>
      </c>
      <c r="C62" s="9" t="str">
        <f t="shared" si="4"/>
        <v/>
      </c>
      <c r="D62" s="9" t="str">
        <f t="shared" si="2"/>
        <v/>
      </c>
      <c r="E62" s="8" t="str">
        <f t="shared" si="3"/>
        <v/>
      </c>
      <c r="F62" s="8" t="str">
        <f>TRIM(CLEAN(IF(ISERROR(FIND(F$2,Mail!$A60)),"",MID(Mail!$A60,FIND(F$2,Mail!$A60)+LEN(F$2)+1,IF(ISERROR(FIND("■",Mail!$A60,FIND(F$2,Mail!$A60)+LEN(F$2))-FIND(F$2,Mail!$A60)-LEN(F$2)),LEN(Mail!$A60)-60-FIND(F$2,Mail!$A60)-LEN(F$2),FIND("■",Mail!$A60,FIND(F$2,Mail!$A60)+LEN(F$2))-FIND(F$2,Mail!$A60)-LEN(F$2)-1)))))</f>
        <v/>
      </c>
      <c r="G62" s="8" t="str">
        <f>TRIM(CLEAN(IF(ISERROR(FIND(G$2,Mail!$A60)),"",MID(Mail!$A60,FIND(G$2,Mail!$A60)+LEN(G$2)+1,IF(ISERROR(FIND("■",Mail!$A60,FIND(G$2,Mail!$A60)+LEN(G$2))-FIND(G$2,Mail!$A60)-LEN(G$2)),LEN(Mail!$A60)-60-FIND(G$2,Mail!$A60)-LEN(G$2),FIND("■",Mail!$A60,FIND(G$2,Mail!$A60)+LEN(G$2))-FIND(G$2,Mail!$A60)-LEN(G$2)-1)))))</f>
        <v/>
      </c>
      <c r="H62" s="8" t="str">
        <f>TRIM(CLEAN(IF(ISERROR(FIND(H$2,Mail!$A60)),"",MID(Mail!$A60,FIND(H$2,Mail!$A60)+LEN(H$2)+1,IF(ISERROR(FIND("■",Mail!$A60,FIND(H$2,Mail!$A60)+LEN(H$2))-FIND(H$2,Mail!$A60)-LEN(H$2)),LEN(Mail!$A60)-60-FIND(H$2,Mail!$A60)-LEN(H$2),FIND("■",Mail!$A60,FIND(H$2,Mail!$A60)+LEN(H$2))-FIND(H$2,Mail!$A60)-LEN(H$2)-1)))))</f>
        <v/>
      </c>
      <c r="I62" s="8" t="str">
        <f>TRIM(CLEAN(IF(ISERROR(FIND(I$2,Mail!$A60)),"",MID(Mail!$A60,FIND(I$2,Mail!$A60)+LEN(I$2)+1,IF(ISERROR(FIND("■",Mail!$A60,FIND(I$2,Mail!$A60)+LEN(I$2))-FIND(I$2,Mail!$A60)-LEN(I$2)),LEN(Mail!$A60)-60-FIND(I$2,Mail!$A60)-LEN(I$2),FIND("■",Mail!$A60,FIND(I$2,Mail!$A60)+LEN(I$2))-FIND(I$2,Mail!$A60)-LEN(I$2)-1)))))</f>
        <v/>
      </c>
      <c r="J62" s="8" t="str">
        <f>TRIM(IF(ISERROR(FIND(J$2,Mail!$A60)),"",MID(Mail!$A60,FIND(J$2,Mail!$A60)+LEN(J$2)+1,IF(ISERROR(FIND("■",Mail!$A60,FIND(J$2,Mail!$A60)+LEN(J$2))-FIND(J$2,Mail!$A60)-LEN(J$2)),LEN(Mail!$A60)-60-FIND(J$2,Mail!$A60)-LEN(J$2),FIND("■",Mail!$A60,FIND(J$2,Mail!$A60)+LEN(J$2))-FIND(J$2,Mail!$A60)-LEN(J$2)-1))))</f>
        <v/>
      </c>
      <c r="K62" s="8" t="str">
        <f>TRIM(IF(ISERROR(FIND(K$2,Mail!$A60)),"",MID(Mail!$A60,FIND(K$2,Mail!$A60)+LEN(K$2)+1,IF(ISERROR(FIND("■",Mail!$A60,FIND(K$2,Mail!$A60)+LEN(K$2))-FIND(K$2,Mail!$A60)-LEN(K$2)),LEN(Mail!$A60)-60-FIND(K$2,Mail!$A60)-LEN(K$2),FIND("■",Mail!$A60,FIND(K$2,Mail!$A60)+LEN(K$2))-FIND(K$2,Mail!$A60)-LEN(K$2)-1))))</f>
        <v/>
      </c>
      <c r="L62" s="8" t="str">
        <f>TRIM(IF(ISERROR(FIND(L$2,Mail!$A60)),"",MID(Mail!$A60,FIND(L$2,Mail!$A60)+LEN(L$2)+1,IF(ISERROR(FIND("■",Mail!$A60,FIND(L$2,Mail!$A60)+LEN(L$2))-FIND(L$2,Mail!$A60)-LEN(L$2)),LEN(Mail!$A60)-60-FIND(L$2,Mail!$A60)-LEN(L$2),FIND("■",Mail!$A60,FIND(L$2,Mail!$A60)+LEN(L$2))-FIND(L$2,Mail!$A60)-LEN(L$2)-1))))</f>
        <v/>
      </c>
      <c r="M62" s="8" t="str">
        <f>TRIM(CLEAN(IF(ISERROR(FIND(M$2,Mail!$A60)),"",MID(Mail!$A60,FIND(M$2,Mail!$A60)+LEN(M$2)+1,IF(ISERROR(FIND("■",Mail!$A60,FIND(M$2,Mail!$A60)+LEN(M$2))-FIND(M$2,Mail!$A60)-LEN(M$2)),LEN(Mail!$A60)-60-FIND(M$2,Mail!$A60)-LEN(M$2),FIND("■",Mail!$A60,FIND(M$2,Mail!$A60)+LEN(M$2))-FIND(M$2,Mail!$A60)-LEN(M$2)-1)))))</f>
        <v/>
      </c>
      <c r="N62" s="8" t="str">
        <f>TRIM(CLEAN(IF(ISERROR(FIND(N$2,Mail!$A60)),"",MID(Mail!$A60,FIND(N$2,Mail!$A60)+LEN(N$2)+1,IF(ISERROR(FIND("■",Mail!$A60,FIND(N$2,Mail!$A60)+LEN(N$2))-FIND(N$2,Mail!$A60)-LEN(N$2)),LEN(Mail!$A60)-60-FIND(N$2,Mail!$A60)-LEN(N$2),FIND("■",Mail!$A60,FIND(N$2,Mail!$A60)+LEN(N$2))-FIND(N$2,Mail!$A60)-LEN(N$2)-1)))))</f>
        <v/>
      </c>
      <c r="O62" s="8" t="str">
        <f>TRIM(CLEAN(IF(ISERROR(FIND(O$2,Mail!$A60)),"",MID(Mail!$A60,FIND(O$2,Mail!$A60)+LEN(O$2)+1,IF(ISERROR(FIND("■",Mail!$A60,FIND(O$2,Mail!$A60)+LEN(O$2))-FIND(O$2,Mail!$A60)-LEN(O$2)),LEN(Mail!$A60)-60-FIND(O$2,Mail!$A60)-LEN(O$2),FIND("■",Mail!$A60,FIND(O$2,Mail!$A60)+LEN(O$2))-FIND(O$2,Mail!$A60)-LEN(O$2)-1)))))</f>
        <v/>
      </c>
      <c r="P62" s="8" t="str">
        <f>TRIM(CLEAN(IF(ISERROR(FIND(P$2,Mail!$A60)),"",MID(Mail!$A60,FIND(P$2,Mail!$A60)+LEN(P$2)+1,IF(ISERROR(FIND("■",Mail!$A60,FIND(P$2,Mail!$A60)+LEN(P$2))-FIND(P$2,Mail!$A60)-LEN(P$2)),LEN(Mail!$A60)-60-FIND(P$2,Mail!$A60)-LEN(P$2),FIND("■",Mail!$A60,FIND(P$2,Mail!$A60)+LEN(P$2))-FIND(P$2,Mail!$A60)-LEN(P$2)-1)))))</f>
        <v/>
      </c>
      <c r="Q62" s="8" t="str">
        <f>TRIM(CLEAN(IF(ISERROR(FIND(Q$2,Mail!$A60)),"",MID(Mail!$A60,FIND(Q$2,Mail!$A60)+LEN(Q$2)+1,IF(ISERROR(FIND("■",Mail!$A60,FIND(Q$2,Mail!$A60)+LEN(Q$2))-FIND(Q$2,Mail!$A60)-LEN(Q$2)),LEN(Mail!$A60)-60-FIND(Q$2,Mail!$A60)-LEN(Q$2),FIND("■",Mail!$A60,FIND(Q$2,Mail!$A60)+LEN(Q$2))-FIND(Q$2,Mail!$A60)-LEN(Q$2)-1)))))</f>
        <v/>
      </c>
      <c r="R62" s="8" t="str">
        <f>TRIM(CLEAN(IF(ISERROR(FIND(R$2,Mail!$A60)),"",MID(Mail!$A60,FIND(R$2,Mail!$A60)+LEN(R$2)+1,IF(ISERROR(FIND("■",Mail!$A60,FIND(R$2,Mail!$A60)+LEN(R$2))-FIND(R$2,Mail!$A60)-LEN(R$2)),LEN(Mail!$A60)-60-FIND(R$2,Mail!$A60)-LEN(R$2),FIND("■",Mail!$A60,FIND(R$2,Mail!$A60)+LEN(R$2))-FIND(R$2,Mail!$A60)-LEN(R$2)-1)))))</f>
        <v/>
      </c>
      <c r="S62" s="8" t="str">
        <f>TRIM(CLEAN(IF(ISERROR(FIND(S$2,Mail!$A60)),"",MID(Mail!$A60,FIND(S$2,Mail!$A60)+LEN(S$2)+1,IF(ISERROR(FIND("■",Mail!$A60,FIND(S$2,Mail!$A60)+LEN(S$2))-FIND(S$2,Mail!$A60)-LEN(S$2)),LEN(Mail!$A60)-60-FIND(S$2,Mail!$A60)-LEN(S$2),FIND("■",Mail!$A60,FIND(S$2,Mail!$A60)+LEN(S$2))-FIND(S$2,Mail!$A60)-LEN(S$2)-1)))))</f>
        <v/>
      </c>
      <c r="T62" s="8" t="str">
        <f>TRIM(CLEAN(IF(ISERROR(FIND(T$2,Mail!$A60)),"",MID(Mail!$A60,FIND(T$2,Mail!$A60)+LEN(T$2)+1,IF(ISERROR(FIND("■",Mail!$A60,FIND(T$2,Mail!$A60)+LEN(T$2))-FIND(T$2,Mail!$A60)-LEN(T$2)),LEN(Mail!$A60)-60-FIND(T$2,Mail!$A60)-LEN(T$2),FIND("■",Mail!$A60,FIND(T$2,Mail!$A60)+LEN(T$2))-FIND(T$2,Mail!$A60)-LEN(T$2)-1)))))</f>
        <v/>
      </c>
      <c r="U62" s="8" t="str">
        <f>TRIM(CLEAN(IF(ISERROR(FIND(U$2,Mail!$A60)),"",MID(Mail!$A60,FIND(U$2,Mail!$A60)+LEN(U$2)+1,IF(ISERROR(FIND("■",Mail!$A60,FIND(U$2,Mail!$A60)+LEN(U$2))-FIND(U$2,Mail!$A60)-LEN(U$2)),LEN(Mail!$A60)-60-FIND(U$2,Mail!$A60)-LEN(U$2),FIND("■",Mail!$A60,FIND(U$2,Mail!$A60)+LEN(U$2))-FIND(U$2,Mail!$A60)-LEN(U$2)-1)))))</f>
        <v/>
      </c>
      <c r="V62" s="8" t="str">
        <f>TRIM(CLEAN(IF(ISERROR(FIND(V$2,Mail!$A60)),"",MID(Mail!$A60,FIND(V$2,Mail!$A60)+LEN(V$2)+1,IF(ISERROR(FIND("■",Mail!$A60,FIND(V$2,Mail!$A60)+LEN(V$2))-FIND(V$2,Mail!$A60)-LEN(V$2)),LEN(Mail!$A60)-60-FIND(V$2,Mail!$A60)-LEN(V$2),FIND("■",Mail!$A60,FIND(V$2,Mail!$A60)+LEN(V$2))-FIND(V$2,Mail!$A60)-LEN(V$2)-1)))))</f>
        <v/>
      </c>
      <c r="W62" s="8" t="str">
        <f>TRIM(CLEAN(IF(ISERROR(FIND(W$2,Mail!$A60)),"",MID(Mail!$A60,FIND(W$2,Mail!$A60)+LEN(W$2)+1,IF(ISERROR(FIND("■",Mail!$A60,FIND(W$2,Mail!$A60)+LEN(W$2))-FIND(W$2,Mail!$A60)-LEN(W$2)),LEN(Mail!$A60)-60-FIND(W$2,Mail!$A60)-LEN(W$2),FIND("■",Mail!$A60,FIND(W$2,Mail!$A60)+LEN(W$2))-FIND(W$2,Mail!$A60)-LEN(W$2)-1)))))</f>
        <v/>
      </c>
      <c r="X62" s="8" t="str">
        <f>TRIM(IF(ISERROR(FIND(X$2,Mail!$A60)),"",MID(Mail!$A60,FIND(X$2,Mail!$A60)+LEN(X$2)+1,IF(ISERROR(FIND("■",Mail!$A60,FIND(X$2,Mail!$A60)+LEN(X$2))-FIND(X$2,Mail!$A60)-LEN(X$2)),LEN(Mail!$A60)-60-FIND(X$2,Mail!$A60)-LEN(X$2),FIND("■",Mail!$A60,FIND(X$2,Mail!$A60)+LEN(X$2))-FIND(X$2,Mail!$A60)-LEN(X$2)-1))))</f>
        <v/>
      </c>
      <c r="Y62" s="8" t="str">
        <f>TRIM(CLEAN(IF(ISERROR(FIND(Y$2,Mail!$A60)),"",MID(Mail!$A60,FIND(Y$2,Mail!$A60)+LEN(Y$2)+1,IF(ISERROR(FIND("■",Mail!$A60,FIND(Y$2,Mail!$A60)+LEN(Y$2))-FIND(Y$2,Mail!$A60)-LEN(Y$2)),LEN(Mail!$A60)-60-FIND(Y$2,Mail!$A60)-LEN(Y$2),FIND("■",Mail!$A60,FIND(Y$2,Mail!$A60)+LEN(Y$2))-FIND(Y$2,Mail!$A60)-LEN(Y$2)-1)))))</f>
        <v/>
      </c>
      <c r="Z62" s="8" t="str">
        <f>TRIM(CLEAN(IF(ISERROR(FIND(Z$2,Mail!$A60)),"",MID(Mail!$A60,FIND(Z$2,Mail!$A60)+LEN(Z$2)+1,IF(ISERROR(FIND("■",Mail!$A60,FIND(Z$2,Mail!$A60)+LEN(Z$2))-FIND(Z$2,Mail!$A60)-LEN(Z$2)),LEN(Mail!$A60)-60-FIND(Z$2,Mail!$A60)-LEN(Z$2),FIND("■",Mail!$A60,FIND(Z$2,Mail!$A60)+LEN(Z$2))-FIND(Z$2,Mail!$A60)-LEN(Z$2)-1)))))</f>
        <v/>
      </c>
      <c r="AA62" s="8" t="str">
        <f>TRIM(CLEAN(IF(ISERROR(FIND(AA$2,Mail!$A60)),"",MID(Mail!$A60,FIND(AA$2,Mail!$A60)+LEN(AA$2)+1,IF(ISERROR(FIND("■",Mail!$A60,FIND(AA$2,Mail!$A60)+LEN(AA$2))-FIND(AA$2,Mail!$A60)-LEN(AA$2)),LEN(Mail!$A60)-60-FIND(AA$2,Mail!$A60)-LEN(AA$2),FIND("■",Mail!$A60,FIND(AA$2,Mail!$A60)+LEN(AA$2))-FIND(AA$2,Mail!$A60)-LEN(AA$2)-1)))))</f>
        <v/>
      </c>
      <c r="AB62" s="8" t="str">
        <f>TRIM(CLEAN(IF(ISERROR(FIND(AB$2,Mail!$A60)),"",MID(Mail!$A60,FIND(AB$2,Mail!$A60)+LEN(AB$2)+1,IF(ISERROR(FIND("■",Mail!$A60,FIND(AB$2,Mail!$A60)+LEN(AB$2))-FIND(AB$2,Mail!$A60)-LEN(AB$2)),LEN(Mail!$A60)-60-FIND(AB$2,Mail!$A60)-LEN(AB$2),FIND("■",Mail!$A60,FIND(AB$2,Mail!$A60)+LEN(AB$2))-FIND(AB$2,Mail!$A60)-LEN(AB$2)-1)))))</f>
        <v/>
      </c>
      <c r="AC62" s="8" t="str">
        <f>TRIM(CLEAN(IF(ISERROR(FIND(AC$2,Mail!$A60)),"",MID(Mail!$A60,FIND(AC$2,Mail!$A60)+LEN(AC$2)+1,IF(ISERROR(FIND("■",Mail!$A60,FIND(AC$2,Mail!$A60)+LEN(AC$2))-FIND(AC$2,Mail!$A60)-LEN(AC$2)),LEN(Mail!$A60)-60-FIND(AC$2,Mail!$A60)-LEN(AC$2),FIND("■",Mail!$A60,FIND(AC$2,Mail!$A60)+LEN(AC$2))-FIND(AC$2,Mail!$A60)-LEN(AC$2)-1)))))</f>
        <v/>
      </c>
      <c r="AD62" s="8" t="str">
        <f>TRIM(CLEAN(IF(ISERROR(FIND(AD$2,Mail!$A60)),"",MID(Mail!$A60,FIND(AD$2,Mail!$A60)+LEN(AD$2)+1,IF(ISERROR(FIND("■",Mail!$A60,FIND(AD$2,Mail!$A60)+LEN(AD$2))-FIND(AD$2,Mail!$A60)-LEN(AD$2)),LEN(Mail!$A60)-60-FIND(AD$2,Mail!$A60)-LEN(AD$2),FIND("■",Mail!$A60,FIND(AD$2,Mail!$A60)+LEN(AD$2))-FIND(AD$2,Mail!$A60)-LEN(AD$2)-1)))))</f>
        <v/>
      </c>
      <c r="AE62" s="8" t="str">
        <f>TRIM(CLEAN(IF(ISERROR(FIND(AE$2,Mail!$A60)),"",MID(Mail!$A60,FIND(AE$2,Mail!$A60)+LEN(AE$2)+1,IF(ISERROR(FIND("■",Mail!$A60,FIND(AE$2,Mail!$A60)+LEN(AE$2))-FIND(AE$2,Mail!$A60)-LEN(AE$2)),LEN(Mail!$A60)-60-FIND(AE$2,Mail!$A60)-LEN(AE$2),FIND("■",Mail!$A60,FIND(AE$2,Mail!$A60)+LEN(AE$2))-FIND(AE$2,Mail!$A60)-LEN(AE$2)-1)))))</f>
        <v/>
      </c>
      <c r="AF62" s="8" t="str">
        <f>TRIM(CLEAN(IF(ISERROR(FIND(AF$2,Mail!$A60)),"",MID(Mail!$A60,FIND(AF$2,Mail!$A60)+LEN(AF$2)+1,IF(ISERROR(FIND("■",Mail!$A60,FIND(AF$2,Mail!$A60)+LEN(AF$2))-FIND(AF$2,Mail!$A60)-LEN(AF$2)),LEN(Mail!$A60)-60-FIND(AF$2,Mail!$A60)-LEN(AF$2),FIND("■",Mail!$A60,FIND(AF$2,Mail!$A60)+LEN(AF$2))-FIND(AF$2,Mail!$A60)-LEN(AF$2)-1)))))</f>
        <v/>
      </c>
      <c r="AG62" s="8" t="str">
        <f>TRIM(IF(ISERROR(FIND(AG$2,Mail!$A60)),"",MID(Mail!$A60,FIND(AG$2,Mail!$A60)+LEN(AG$2)+1,IF(ISERROR(FIND("■",Mail!$A60,FIND(AG$2,Mail!$A60)+LEN(AG$2))-FIND(AG$2,Mail!$A60)-LEN(AG$2)),LEN(Mail!$A60)-60-FIND(AG$2,Mail!$A60)-LEN(AG$2),FIND("■",Mail!$A60,FIND(AG$2,Mail!$A60)+LEN(AG$2))-FIND(AG$2,Mail!$A60)-LEN(AG$2)-1))))</f>
        <v/>
      </c>
      <c r="AH62" s="8" t="str">
        <f>TRIM(IF(ISERROR(FIND(AH$2,Mail!$A60)),"",MID(Mail!$A60,FIND(AH$2,Mail!$A60)+LEN(AH$2)+1,IF(ISERROR(FIND("■",Mail!$A60,FIND(AH$2,Mail!$A60)+LEN(AH$2))-FIND(AH$2,Mail!$A60)-LEN(AH$2)),LEN(Mail!$A60)-60-FIND(AH$2,Mail!$A60)-LEN(AH$2),FIND("■",Mail!$A60,FIND(AH$2,Mail!$A60)+LEN(AH$2))-FIND(AH$2,Mail!$A60)-LEN(AH$2)-1))))</f>
        <v/>
      </c>
      <c r="AI62" s="8" t="str">
        <f>TRIM(IF(ISERROR(FIND(AI$2,Mail!$A60)),"",MID(Mail!$A60,FIND(AI$2,Mail!$A60)+LEN(AI$2)+1,IF(ISERROR(FIND("■",Mail!$A60,FIND(AI$2,Mail!$A60)+LEN(AI$2))-FIND(AI$2,Mail!$A60)-LEN(AI$2)),LEN(Mail!$A60)-60-FIND(AI$2,Mail!$A60)-LEN(AI$2),FIND("■",Mail!$A60,FIND(AI$2,Mail!$A60)+LEN(AI$2))-FIND(AI$2,Mail!$A60)-LEN(AI$2)-1))))</f>
        <v/>
      </c>
    </row>
    <row r="63" spans="1:35" s="8" customFormat="1" x14ac:dyDescent="0.15">
      <c r="A63" s="9" t="str">
        <f t="shared" si="1"/>
        <v/>
      </c>
      <c r="B63" s="8" t="str">
        <f>CLEAN(SUBSTITUTE(IF(ISERROR(FIND("yokohama",Mail!$A61)),"",MID(Mail!$A61,FIND("yokohama",Mail!$A61)+LEN("yokohama")+1,FIND("件目",Mail!$A61,FIND("yokohama",Mail!$A61))-(FIND("yokohama",Mail!$A61)+LEN("yokohama")+1)))," ",""))</f>
        <v/>
      </c>
      <c r="C63" s="9" t="str">
        <f t="shared" si="4"/>
        <v/>
      </c>
      <c r="D63" s="9" t="str">
        <f t="shared" si="2"/>
        <v/>
      </c>
      <c r="E63" s="8" t="str">
        <f t="shared" si="3"/>
        <v/>
      </c>
      <c r="F63" s="8" t="str">
        <f>TRIM(CLEAN(IF(ISERROR(FIND(F$2,Mail!$A61)),"",MID(Mail!$A61,FIND(F$2,Mail!$A61)+LEN(F$2)+1,IF(ISERROR(FIND("■",Mail!$A61,FIND(F$2,Mail!$A61)+LEN(F$2))-FIND(F$2,Mail!$A61)-LEN(F$2)),LEN(Mail!$A61)-60-FIND(F$2,Mail!$A61)-LEN(F$2),FIND("■",Mail!$A61,FIND(F$2,Mail!$A61)+LEN(F$2))-FIND(F$2,Mail!$A61)-LEN(F$2)-1)))))</f>
        <v/>
      </c>
      <c r="G63" s="8" t="str">
        <f>TRIM(CLEAN(IF(ISERROR(FIND(G$2,Mail!$A61)),"",MID(Mail!$A61,FIND(G$2,Mail!$A61)+LEN(G$2)+1,IF(ISERROR(FIND("■",Mail!$A61,FIND(G$2,Mail!$A61)+LEN(G$2))-FIND(G$2,Mail!$A61)-LEN(G$2)),LEN(Mail!$A61)-60-FIND(G$2,Mail!$A61)-LEN(G$2),FIND("■",Mail!$A61,FIND(G$2,Mail!$A61)+LEN(G$2))-FIND(G$2,Mail!$A61)-LEN(G$2)-1)))))</f>
        <v/>
      </c>
      <c r="H63" s="8" t="str">
        <f>TRIM(CLEAN(IF(ISERROR(FIND(H$2,Mail!$A61)),"",MID(Mail!$A61,FIND(H$2,Mail!$A61)+LEN(H$2)+1,IF(ISERROR(FIND("■",Mail!$A61,FIND(H$2,Mail!$A61)+LEN(H$2))-FIND(H$2,Mail!$A61)-LEN(H$2)),LEN(Mail!$A61)-60-FIND(H$2,Mail!$A61)-LEN(H$2),FIND("■",Mail!$A61,FIND(H$2,Mail!$A61)+LEN(H$2))-FIND(H$2,Mail!$A61)-LEN(H$2)-1)))))</f>
        <v/>
      </c>
      <c r="I63" s="8" t="str">
        <f>TRIM(CLEAN(IF(ISERROR(FIND(I$2,Mail!$A61)),"",MID(Mail!$A61,FIND(I$2,Mail!$A61)+LEN(I$2)+1,IF(ISERROR(FIND("■",Mail!$A61,FIND(I$2,Mail!$A61)+LEN(I$2))-FIND(I$2,Mail!$A61)-LEN(I$2)),LEN(Mail!$A61)-60-FIND(I$2,Mail!$A61)-LEN(I$2),FIND("■",Mail!$A61,FIND(I$2,Mail!$A61)+LEN(I$2))-FIND(I$2,Mail!$A61)-LEN(I$2)-1)))))</f>
        <v/>
      </c>
      <c r="J63" s="8" t="str">
        <f>TRIM(IF(ISERROR(FIND(J$2,Mail!$A61)),"",MID(Mail!$A61,FIND(J$2,Mail!$A61)+LEN(J$2)+1,IF(ISERROR(FIND("■",Mail!$A61,FIND(J$2,Mail!$A61)+LEN(J$2))-FIND(J$2,Mail!$A61)-LEN(J$2)),LEN(Mail!$A61)-60-FIND(J$2,Mail!$A61)-LEN(J$2),FIND("■",Mail!$A61,FIND(J$2,Mail!$A61)+LEN(J$2))-FIND(J$2,Mail!$A61)-LEN(J$2)-1))))</f>
        <v/>
      </c>
      <c r="K63" s="8" t="str">
        <f>TRIM(IF(ISERROR(FIND(K$2,Mail!$A61)),"",MID(Mail!$A61,FIND(K$2,Mail!$A61)+LEN(K$2)+1,IF(ISERROR(FIND("■",Mail!$A61,FIND(K$2,Mail!$A61)+LEN(K$2))-FIND(K$2,Mail!$A61)-LEN(K$2)),LEN(Mail!$A61)-60-FIND(K$2,Mail!$A61)-LEN(K$2),FIND("■",Mail!$A61,FIND(K$2,Mail!$A61)+LEN(K$2))-FIND(K$2,Mail!$A61)-LEN(K$2)-1))))</f>
        <v/>
      </c>
      <c r="L63" s="8" t="str">
        <f>TRIM(IF(ISERROR(FIND(L$2,Mail!$A61)),"",MID(Mail!$A61,FIND(L$2,Mail!$A61)+LEN(L$2)+1,IF(ISERROR(FIND("■",Mail!$A61,FIND(L$2,Mail!$A61)+LEN(L$2))-FIND(L$2,Mail!$A61)-LEN(L$2)),LEN(Mail!$A61)-60-FIND(L$2,Mail!$A61)-LEN(L$2),FIND("■",Mail!$A61,FIND(L$2,Mail!$A61)+LEN(L$2))-FIND(L$2,Mail!$A61)-LEN(L$2)-1))))</f>
        <v/>
      </c>
      <c r="M63" s="8" t="str">
        <f>TRIM(CLEAN(IF(ISERROR(FIND(M$2,Mail!$A61)),"",MID(Mail!$A61,FIND(M$2,Mail!$A61)+LEN(M$2)+1,IF(ISERROR(FIND("■",Mail!$A61,FIND(M$2,Mail!$A61)+LEN(M$2))-FIND(M$2,Mail!$A61)-LEN(M$2)),LEN(Mail!$A61)-60-FIND(M$2,Mail!$A61)-LEN(M$2),FIND("■",Mail!$A61,FIND(M$2,Mail!$A61)+LEN(M$2))-FIND(M$2,Mail!$A61)-LEN(M$2)-1)))))</f>
        <v/>
      </c>
      <c r="N63" s="8" t="str">
        <f>TRIM(CLEAN(IF(ISERROR(FIND(N$2,Mail!$A61)),"",MID(Mail!$A61,FIND(N$2,Mail!$A61)+LEN(N$2)+1,IF(ISERROR(FIND("■",Mail!$A61,FIND(N$2,Mail!$A61)+LEN(N$2))-FIND(N$2,Mail!$A61)-LEN(N$2)),LEN(Mail!$A61)-60-FIND(N$2,Mail!$A61)-LEN(N$2),FIND("■",Mail!$A61,FIND(N$2,Mail!$A61)+LEN(N$2))-FIND(N$2,Mail!$A61)-LEN(N$2)-1)))))</f>
        <v/>
      </c>
      <c r="O63" s="8" t="str">
        <f>TRIM(CLEAN(IF(ISERROR(FIND(O$2,Mail!$A61)),"",MID(Mail!$A61,FIND(O$2,Mail!$A61)+LEN(O$2)+1,IF(ISERROR(FIND("■",Mail!$A61,FIND(O$2,Mail!$A61)+LEN(O$2))-FIND(O$2,Mail!$A61)-LEN(O$2)),LEN(Mail!$A61)-60-FIND(O$2,Mail!$A61)-LEN(O$2),FIND("■",Mail!$A61,FIND(O$2,Mail!$A61)+LEN(O$2))-FIND(O$2,Mail!$A61)-LEN(O$2)-1)))))</f>
        <v/>
      </c>
      <c r="P63" s="8" t="str">
        <f>TRIM(CLEAN(IF(ISERROR(FIND(P$2,Mail!$A61)),"",MID(Mail!$A61,FIND(P$2,Mail!$A61)+LEN(P$2)+1,IF(ISERROR(FIND("■",Mail!$A61,FIND(P$2,Mail!$A61)+LEN(P$2))-FIND(P$2,Mail!$A61)-LEN(P$2)),LEN(Mail!$A61)-60-FIND(P$2,Mail!$A61)-LEN(P$2),FIND("■",Mail!$A61,FIND(P$2,Mail!$A61)+LEN(P$2))-FIND(P$2,Mail!$A61)-LEN(P$2)-1)))))</f>
        <v/>
      </c>
      <c r="Q63" s="8" t="str">
        <f>TRIM(CLEAN(IF(ISERROR(FIND(Q$2,Mail!$A61)),"",MID(Mail!$A61,FIND(Q$2,Mail!$A61)+LEN(Q$2)+1,IF(ISERROR(FIND("■",Mail!$A61,FIND(Q$2,Mail!$A61)+LEN(Q$2))-FIND(Q$2,Mail!$A61)-LEN(Q$2)),LEN(Mail!$A61)-60-FIND(Q$2,Mail!$A61)-LEN(Q$2),FIND("■",Mail!$A61,FIND(Q$2,Mail!$A61)+LEN(Q$2))-FIND(Q$2,Mail!$A61)-LEN(Q$2)-1)))))</f>
        <v/>
      </c>
      <c r="R63" s="8" t="str">
        <f>TRIM(CLEAN(IF(ISERROR(FIND(R$2,Mail!$A61)),"",MID(Mail!$A61,FIND(R$2,Mail!$A61)+LEN(R$2)+1,IF(ISERROR(FIND("■",Mail!$A61,FIND(R$2,Mail!$A61)+LEN(R$2))-FIND(R$2,Mail!$A61)-LEN(R$2)),LEN(Mail!$A61)-60-FIND(R$2,Mail!$A61)-LEN(R$2),FIND("■",Mail!$A61,FIND(R$2,Mail!$A61)+LEN(R$2))-FIND(R$2,Mail!$A61)-LEN(R$2)-1)))))</f>
        <v/>
      </c>
      <c r="S63" s="8" t="str">
        <f>TRIM(CLEAN(IF(ISERROR(FIND(S$2,Mail!$A61)),"",MID(Mail!$A61,FIND(S$2,Mail!$A61)+LEN(S$2)+1,IF(ISERROR(FIND("■",Mail!$A61,FIND(S$2,Mail!$A61)+LEN(S$2))-FIND(S$2,Mail!$A61)-LEN(S$2)),LEN(Mail!$A61)-60-FIND(S$2,Mail!$A61)-LEN(S$2),FIND("■",Mail!$A61,FIND(S$2,Mail!$A61)+LEN(S$2))-FIND(S$2,Mail!$A61)-LEN(S$2)-1)))))</f>
        <v/>
      </c>
      <c r="T63" s="8" t="str">
        <f>TRIM(CLEAN(IF(ISERROR(FIND(T$2,Mail!$A61)),"",MID(Mail!$A61,FIND(T$2,Mail!$A61)+LEN(T$2)+1,IF(ISERROR(FIND("■",Mail!$A61,FIND(T$2,Mail!$A61)+LEN(T$2))-FIND(T$2,Mail!$A61)-LEN(T$2)),LEN(Mail!$A61)-60-FIND(T$2,Mail!$A61)-LEN(T$2),FIND("■",Mail!$A61,FIND(T$2,Mail!$A61)+LEN(T$2))-FIND(T$2,Mail!$A61)-LEN(T$2)-1)))))</f>
        <v/>
      </c>
      <c r="U63" s="8" t="str">
        <f>TRIM(CLEAN(IF(ISERROR(FIND(U$2,Mail!$A61)),"",MID(Mail!$A61,FIND(U$2,Mail!$A61)+LEN(U$2)+1,IF(ISERROR(FIND("■",Mail!$A61,FIND(U$2,Mail!$A61)+LEN(U$2))-FIND(U$2,Mail!$A61)-LEN(U$2)),LEN(Mail!$A61)-60-FIND(U$2,Mail!$A61)-LEN(U$2),FIND("■",Mail!$A61,FIND(U$2,Mail!$A61)+LEN(U$2))-FIND(U$2,Mail!$A61)-LEN(U$2)-1)))))</f>
        <v/>
      </c>
      <c r="V63" s="8" t="str">
        <f>TRIM(CLEAN(IF(ISERROR(FIND(V$2,Mail!$A61)),"",MID(Mail!$A61,FIND(V$2,Mail!$A61)+LEN(V$2)+1,IF(ISERROR(FIND("■",Mail!$A61,FIND(V$2,Mail!$A61)+LEN(V$2))-FIND(V$2,Mail!$A61)-LEN(V$2)),LEN(Mail!$A61)-60-FIND(V$2,Mail!$A61)-LEN(V$2),FIND("■",Mail!$A61,FIND(V$2,Mail!$A61)+LEN(V$2))-FIND(V$2,Mail!$A61)-LEN(V$2)-1)))))</f>
        <v/>
      </c>
      <c r="W63" s="8" t="str">
        <f>TRIM(CLEAN(IF(ISERROR(FIND(W$2,Mail!$A61)),"",MID(Mail!$A61,FIND(W$2,Mail!$A61)+LEN(W$2)+1,IF(ISERROR(FIND("■",Mail!$A61,FIND(W$2,Mail!$A61)+LEN(W$2))-FIND(W$2,Mail!$A61)-LEN(W$2)),LEN(Mail!$A61)-60-FIND(W$2,Mail!$A61)-LEN(W$2),FIND("■",Mail!$A61,FIND(W$2,Mail!$A61)+LEN(W$2))-FIND(W$2,Mail!$A61)-LEN(W$2)-1)))))</f>
        <v/>
      </c>
      <c r="X63" s="8" t="str">
        <f>TRIM(IF(ISERROR(FIND(X$2,Mail!$A61)),"",MID(Mail!$A61,FIND(X$2,Mail!$A61)+LEN(X$2)+1,IF(ISERROR(FIND("■",Mail!$A61,FIND(X$2,Mail!$A61)+LEN(X$2))-FIND(X$2,Mail!$A61)-LEN(X$2)),LEN(Mail!$A61)-60-FIND(X$2,Mail!$A61)-LEN(X$2),FIND("■",Mail!$A61,FIND(X$2,Mail!$A61)+LEN(X$2))-FIND(X$2,Mail!$A61)-LEN(X$2)-1))))</f>
        <v/>
      </c>
      <c r="Y63" s="8" t="str">
        <f>TRIM(CLEAN(IF(ISERROR(FIND(Y$2,Mail!$A61)),"",MID(Mail!$A61,FIND(Y$2,Mail!$A61)+LEN(Y$2)+1,IF(ISERROR(FIND("■",Mail!$A61,FIND(Y$2,Mail!$A61)+LEN(Y$2))-FIND(Y$2,Mail!$A61)-LEN(Y$2)),LEN(Mail!$A61)-60-FIND(Y$2,Mail!$A61)-LEN(Y$2),FIND("■",Mail!$A61,FIND(Y$2,Mail!$A61)+LEN(Y$2))-FIND(Y$2,Mail!$A61)-LEN(Y$2)-1)))))</f>
        <v/>
      </c>
      <c r="Z63" s="8" t="str">
        <f>TRIM(CLEAN(IF(ISERROR(FIND(Z$2,Mail!$A61)),"",MID(Mail!$A61,FIND(Z$2,Mail!$A61)+LEN(Z$2)+1,IF(ISERROR(FIND("■",Mail!$A61,FIND(Z$2,Mail!$A61)+LEN(Z$2))-FIND(Z$2,Mail!$A61)-LEN(Z$2)),LEN(Mail!$A61)-60-FIND(Z$2,Mail!$A61)-LEN(Z$2),FIND("■",Mail!$A61,FIND(Z$2,Mail!$A61)+LEN(Z$2))-FIND(Z$2,Mail!$A61)-LEN(Z$2)-1)))))</f>
        <v/>
      </c>
      <c r="AA63" s="8" t="str">
        <f>TRIM(CLEAN(IF(ISERROR(FIND(AA$2,Mail!$A61)),"",MID(Mail!$A61,FIND(AA$2,Mail!$A61)+LEN(AA$2)+1,IF(ISERROR(FIND("■",Mail!$A61,FIND(AA$2,Mail!$A61)+LEN(AA$2))-FIND(AA$2,Mail!$A61)-LEN(AA$2)),LEN(Mail!$A61)-60-FIND(AA$2,Mail!$A61)-LEN(AA$2),FIND("■",Mail!$A61,FIND(AA$2,Mail!$A61)+LEN(AA$2))-FIND(AA$2,Mail!$A61)-LEN(AA$2)-1)))))</f>
        <v/>
      </c>
      <c r="AB63" s="8" t="str">
        <f>TRIM(CLEAN(IF(ISERROR(FIND(AB$2,Mail!$A61)),"",MID(Mail!$A61,FIND(AB$2,Mail!$A61)+LEN(AB$2)+1,IF(ISERROR(FIND("■",Mail!$A61,FIND(AB$2,Mail!$A61)+LEN(AB$2))-FIND(AB$2,Mail!$A61)-LEN(AB$2)),LEN(Mail!$A61)-60-FIND(AB$2,Mail!$A61)-LEN(AB$2),FIND("■",Mail!$A61,FIND(AB$2,Mail!$A61)+LEN(AB$2))-FIND(AB$2,Mail!$A61)-LEN(AB$2)-1)))))</f>
        <v/>
      </c>
      <c r="AC63" s="8" t="str">
        <f>TRIM(CLEAN(IF(ISERROR(FIND(AC$2,Mail!$A61)),"",MID(Mail!$A61,FIND(AC$2,Mail!$A61)+LEN(AC$2)+1,IF(ISERROR(FIND("■",Mail!$A61,FIND(AC$2,Mail!$A61)+LEN(AC$2))-FIND(AC$2,Mail!$A61)-LEN(AC$2)),LEN(Mail!$A61)-60-FIND(AC$2,Mail!$A61)-LEN(AC$2),FIND("■",Mail!$A61,FIND(AC$2,Mail!$A61)+LEN(AC$2))-FIND(AC$2,Mail!$A61)-LEN(AC$2)-1)))))</f>
        <v/>
      </c>
      <c r="AD63" s="8" t="str">
        <f>TRIM(CLEAN(IF(ISERROR(FIND(AD$2,Mail!$A61)),"",MID(Mail!$A61,FIND(AD$2,Mail!$A61)+LEN(AD$2)+1,IF(ISERROR(FIND("■",Mail!$A61,FIND(AD$2,Mail!$A61)+LEN(AD$2))-FIND(AD$2,Mail!$A61)-LEN(AD$2)),LEN(Mail!$A61)-60-FIND(AD$2,Mail!$A61)-LEN(AD$2),FIND("■",Mail!$A61,FIND(AD$2,Mail!$A61)+LEN(AD$2))-FIND(AD$2,Mail!$A61)-LEN(AD$2)-1)))))</f>
        <v/>
      </c>
      <c r="AE63" s="8" t="str">
        <f>TRIM(CLEAN(IF(ISERROR(FIND(AE$2,Mail!$A61)),"",MID(Mail!$A61,FIND(AE$2,Mail!$A61)+LEN(AE$2)+1,IF(ISERROR(FIND("■",Mail!$A61,FIND(AE$2,Mail!$A61)+LEN(AE$2))-FIND(AE$2,Mail!$A61)-LEN(AE$2)),LEN(Mail!$A61)-60-FIND(AE$2,Mail!$A61)-LEN(AE$2),FIND("■",Mail!$A61,FIND(AE$2,Mail!$A61)+LEN(AE$2))-FIND(AE$2,Mail!$A61)-LEN(AE$2)-1)))))</f>
        <v/>
      </c>
      <c r="AF63" s="8" t="str">
        <f>TRIM(CLEAN(IF(ISERROR(FIND(AF$2,Mail!$A61)),"",MID(Mail!$A61,FIND(AF$2,Mail!$A61)+LEN(AF$2)+1,IF(ISERROR(FIND("■",Mail!$A61,FIND(AF$2,Mail!$A61)+LEN(AF$2))-FIND(AF$2,Mail!$A61)-LEN(AF$2)),LEN(Mail!$A61)-60-FIND(AF$2,Mail!$A61)-LEN(AF$2),FIND("■",Mail!$A61,FIND(AF$2,Mail!$A61)+LEN(AF$2))-FIND(AF$2,Mail!$A61)-LEN(AF$2)-1)))))</f>
        <v/>
      </c>
      <c r="AG63" s="8" t="str">
        <f>TRIM(IF(ISERROR(FIND(AG$2,Mail!$A61)),"",MID(Mail!$A61,FIND(AG$2,Mail!$A61)+LEN(AG$2)+1,IF(ISERROR(FIND("■",Mail!$A61,FIND(AG$2,Mail!$A61)+LEN(AG$2))-FIND(AG$2,Mail!$A61)-LEN(AG$2)),LEN(Mail!$A61)-60-FIND(AG$2,Mail!$A61)-LEN(AG$2),FIND("■",Mail!$A61,FIND(AG$2,Mail!$A61)+LEN(AG$2))-FIND(AG$2,Mail!$A61)-LEN(AG$2)-1))))</f>
        <v/>
      </c>
      <c r="AH63" s="8" t="str">
        <f>TRIM(IF(ISERROR(FIND(AH$2,Mail!$A61)),"",MID(Mail!$A61,FIND(AH$2,Mail!$A61)+LEN(AH$2)+1,IF(ISERROR(FIND("■",Mail!$A61,FIND(AH$2,Mail!$A61)+LEN(AH$2))-FIND(AH$2,Mail!$A61)-LEN(AH$2)),LEN(Mail!$A61)-60-FIND(AH$2,Mail!$A61)-LEN(AH$2),FIND("■",Mail!$A61,FIND(AH$2,Mail!$A61)+LEN(AH$2))-FIND(AH$2,Mail!$A61)-LEN(AH$2)-1))))</f>
        <v/>
      </c>
      <c r="AI63" s="8" t="str">
        <f>TRIM(IF(ISERROR(FIND(AI$2,Mail!$A61)),"",MID(Mail!$A61,FIND(AI$2,Mail!$A61)+LEN(AI$2)+1,IF(ISERROR(FIND("■",Mail!$A61,FIND(AI$2,Mail!$A61)+LEN(AI$2))-FIND(AI$2,Mail!$A61)-LEN(AI$2)),LEN(Mail!$A61)-60-FIND(AI$2,Mail!$A61)-LEN(AI$2),FIND("■",Mail!$A61,FIND(AI$2,Mail!$A61)+LEN(AI$2))-FIND(AI$2,Mail!$A61)-LEN(AI$2)-1))))</f>
        <v/>
      </c>
    </row>
    <row r="64" spans="1:35" s="8" customFormat="1" x14ac:dyDescent="0.15">
      <c r="A64" s="9" t="str">
        <f t="shared" si="1"/>
        <v/>
      </c>
      <c r="B64" s="8" t="str">
        <f>CLEAN(SUBSTITUTE(IF(ISERROR(FIND("yokohama",Mail!$A62)),"",MID(Mail!$A62,FIND("yokohama",Mail!$A62)+LEN("yokohama")+1,FIND("件目",Mail!$A62,FIND("yokohama",Mail!$A62))-(FIND("yokohama",Mail!$A62)+LEN("yokohama")+1)))," ",""))</f>
        <v/>
      </c>
      <c r="C64" s="9" t="str">
        <f t="shared" si="4"/>
        <v/>
      </c>
      <c r="D64" s="9" t="str">
        <f t="shared" si="2"/>
        <v/>
      </c>
      <c r="E64" s="8" t="str">
        <f t="shared" si="3"/>
        <v/>
      </c>
      <c r="F64" s="8" t="str">
        <f>TRIM(CLEAN(IF(ISERROR(FIND(F$2,Mail!$A62)),"",MID(Mail!$A62,FIND(F$2,Mail!$A62)+LEN(F$2)+1,IF(ISERROR(FIND("■",Mail!$A62,FIND(F$2,Mail!$A62)+LEN(F$2))-FIND(F$2,Mail!$A62)-LEN(F$2)),LEN(Mail!$A62)-60-FIND(F$2,Mail!$A62)-LEN(F$2),FIND("■",Mail!$A62,FIND(F$2,Mail!$A62)+LEN(F$2))-FIND(F$2,Mail!$A62)-LEN(F$2)-1)))))</f>
        <v/>
      </c>
      <c r="G64" s="8" t="str">
        <f>TRIM(CLEAN(IF(ISERROR(FIND(G$2,Mail!$A62)),"",MID(Mail!$A62,FIND(G$2,Mail!$A62)+LEN(G$2)+1,IF(ISERROR(FIND("■",Mail!$A62,FIND(G$2,Mail!$A62)+LEN(G$2))-FIND(G$2,Mail!$A62)-LEN(G$2)),LEN(Mail!$A62)-60-FIND(G$2,Mail!$A62)-LEN(G$2),FIND("■",Mail!$A62,FIND(G$2,Mail!$A62)+LEN(G$2))-FIND(G$2,Mail!$A62)-LEN(G$2)-1)))))</f>
        <v/>
      </c>
      <c r="H64" s="8" t="str">
        <f>TRIM(CLEAN(IF(ISERROR(FIND(H$2,Mail!$A62)),"",MID(Mail!$A62,FIND(H$2,Mail!$A62)+LEN(H$2)+1,IF(ISERROR(FIND("■",Mail!$A62,FIND(H$2,Mail!$A62)+LEN(H$2))-FIND(H$2,Mail!$A62)-LEN(H$2)),LEN(Mail!$A62)-60-FIND(H$2,Mail!$A62)-LEN(H$2),FIND("■",Mail!$A62,FIND(H$2,Mail!$A62)+LEN(H$2))-FIND(H$2,Mail!$A62)-LEN(H$2)-1)))))</f>
        <v/>
      </c>
      <c r="I64" s="8" t="str">
        <f>TRIM(CLEAN(IF(ISERROR(FIND(I$2,Mail!$A62)),"",MID(Mail!$A62,FIND(I$2,Mail!$A62)+LEN(I$2)+1,IF(ISERROR(FIND("■",Mail!$A62,FIND(I$2,Mail!$A62)+LEN(I$2))-FIND(I$2,Mail!$A62)-LEN(I$2)),LEN(Mail!$A62)-60-FIND(I$2,Mail!$A62)-LEN(I$2),FIND("■",Mail!$A62,FIND(I$2,Mail!$A62)+LEN(I$2))-FIND(I$2,Mail!$A62)-LEN(I$2)-1)))))</f>
        <v/>
      </c>
      <c r="J64" s="8" t="str">
        <f>TRIM(IF(ISERROR(FIND(J$2,Mail!$A62)),"",MID(Mail!$A62,FIND(J$2,Mail!$A62)+LEN(J$2)+1,IF(ISERROR(FIND("■",Mail!$A62,FIND(J$2,Mail!$A62)+LEN(J$2))-FIND(J$2,Mail!$A62)-LEN(J$2)),LEN(Mail!$A62)-60-FIND(J$2,Mail!$A62)-LEN(J$2),FIND("■",Mail!$A62,FIND(J$2,Mail!$A62)+LEN(J$2))-FIND(J$2,Mail!$A62)-LEN(J$2)-1))))</f>
        <v/>
      </c>
      <c r="K64" s="8" t="str">
        <f>TRIM(IF(ISERROR(FIND(K$2,Mail!$A62)),"",MID(Mail!$A62,FIND(K$2,Mail!$A62)+LEN(K$2)+1,IF(ISERROR(FIND("■",Mail!$A62,FIND(K$2,Mail!$A62)+LEN(K$2))-FIND(K$2,Mail!$A62)-LEN(K$2)),LEN(Mail!$A62)-60-FIND(K$2,Mail!$A62)-LEN(K$2),FIND("■",Mail!$A62,FIND(K$2,Mail!$A62)+LEN(K$2))-FIND(K$2,Mail!$A62)-LEN(K$2)-1))))</f>
        <v/>
      </c>
      <c r="L64" s="8" t="str">
        <f>TRIM(IF(ISERROR(FIND(L$2,Mail!$A62)),"",MID(Mail!$A62,FIND(L$2,Mail!$A62)+LEN(L$2)+1,IF(ISERROR(FIND("■",Mail!$A62,FIND(L$2,Mail!$A62)+LEN(L$2))-FIND(L$2,Mail!$A62)-LEN(L$2)),LEN(Mail!$A62)-60-FIND(L$2,Mail!$A62)-LEN(L$2),FIND("■",Mail!$A62,FIND(L$2,Mail!$A62)+LEN(L$2))-FIND(L$2,Mail!$A62)-LEN(L$2)-1))))</f>
        <v/>
      </c>
      <c r="M64" s="8" t="str">
        <f>TRIM(CLEAN(IF(ISERROR(FIND(M$2,Mail!$A62)),"",MID(Mail!$A62,FIND(M$2,Mail!$A62)+LEN(M$2)+1,IF(ISERROR(FIND("■",Mail!$A62,FIND(M$2,Mail!$A62)+LEN(M$2))-FIND(M$2,Mail!$A62)-LEN(M$2)),LEN(Mail!$A62)-60-FIND(M$2,Mail!$A62)-LEN(M$2),FIND("■",Mail!$A62,FIND(M$2,Mail!$A62)+LEN(M$2))-FIND(M$2,Mail!$A62)-LEN(M$2)-1)))))</f>
        <v/>
      </c>
      <c r="N64" s="8" t="str">
        <f>TRIM(CLEAN(IF(ISERROR(FIND(N$2,Mail!$A62)),"",MID(Mail!$A62,FIND(N$2,Mail!$A62)+LEN(N$2)+1,IF(ISERROR(FIND("■",Mail!$A62,FIND(N$2,Mail!$A62)+LEN(N$2))-FIND(N$2,Mail!$A62)-LEN(N$2)),LEN(Mail!$A62)-60-FIND(N$2,Mail!$A62)-LEN(N$2),FIND("■",Mail!$A62,FIND(N$2,Mail!$A62)+LEN(N$2))-FIND(N$2,Mail!$A62)-LEN(N$2)-1)))))</f>
        <v/>
      </c>
      <c r="O64" s="8" t="str">
        <f>TRIM(CLEAN(IF(ISERROR(FIND(O$2,Mail!$A62)),"",MID(Mail!$A62,FIND(O$2,Mail!$A62)+LEN(O$2)+1,IF(ISERROR(FIND("■",Mail!$A62,FIND(O$2,Mail!$A62)+LEN(O$2))-FIND(O$2,Mail!$A62)-LEN(O$2)),LEN(Mail!$A62)-60-FIND(O$2,Mail!$A62)-LEN(O$2),FIND("■",Mail!$A62,FIND(O$2,Mail!$A62)+LEN(O$2))-FIND(O$2,Mail!$A62)-LEN(O$2)-1)))))</f>
        <v/>
      </c>
      <c r="P64" s="8" t="str">
        <f>TRIM(CLEAN(IF(ISERROR(FIND(P$2,Mail!$A62)),"",MID(Mail!$A62,FIND(P$2,Mail!$A62)+LEN(P$2)+1,IF(ISERROR(FIND("■",Mail!$A62,FIND(P$2,Mail!$A62)+LEN(P$2))-FIND(P$2,Mail!$A62)-LEN(P$2)),LEN(Mail!$A62)-60-FIND(P$2,Mail!$A62)-LEN(P$2),FIND("■",Mail!$A62,FIND(P$2,Mail!$A62)+LEN(P$2))-FIND(P$2,Mail!$A62)-LEN(P$2)-1)))))</f>
        <v/>
      </c>
      <c r="Q64" s="8" t="str">
        <f>TRIM(CLEAN(IF(ISERROR(FIND(Q$2,Mail!$A62)),"",MID(Mail!$A62,FIND(Q$2,Mail!$A62)+LEN(Q$2)+1,IF(ISERROR(FIND("■",Mail!$A62,FIND(Q$2,Mail!$A62)+LEN(Q$2))-FIND(Q$2,Mail!$A62)-LEN(Q$2)),LEN(Mail!$A62)-60-FIND(Q$2,Mail!$A62)-LEN(Q$2),FIND("■",Mail!$A62,FIND(Q$2,Mail!$A62)+LEN(Q$2))-FIND(Q$2,Mail!$A62)-LEN(Q$2)-1)))))</f>
        <v/>
      </c>
      <c r="R64" s="8" t="str">
        <f>TRIM(CLEAN(IF(ISERROR(FIND(R$2,Mail!$A62)),"",MID(Mail!$A62,FIND(R$2,Mail!$A62)+LEN(R$2)+1,IF(ISERROR(FIND("■",Mail!$A62,FIND(R$2,Mail!$A62)+LEN(R$2))-FIND(R$2,Mail!$A62)-LEN(R$2)),LEN(Mail!$A62)-60-FIND(R$2,Mail!$A62)-LEN(R$2),FIND("■",Mail!$A62,FIND(R$2,Mail!$A62)+LEN(R$2))-FIND(R$2,Mail!$A62)-LEN(R$2)-1)))))</f>
        <v/>
      </c>
      <c r="S64" s="8" t="str">
        <f>TRIM(CLEAN(IF(ISERROR(FIND(S$2,Mail!$A62)),"",MID(Mail!$A62,FIND(S$2,Mail!$A62)+LEN(S$2)+1,IF(ISERROR(FIND("■",Mail!$A62,FIND(S$2,Mail!$A62)+LEN(S$2))-FIND(S$2,Mail!$A62)-LEN(S$2)),LEN(Mail!$A62)-60-FIND(S$2,Mail!$A62)-LEN(S$2),FIND("■",Mail!$A62,FIND(S$2,Mail!$A62)+LEN(S$2))-FIND(S$2,Mail!$A62)-LEN(S$2)-1)))))</f>
        <v/>
      </c>
      <c r="T64" s="8" t="str">
        <f>TRIM(CLEAN(IF(ISERROR(FIND(T$2,Mail!$A62)),"",MID(Mail!$A62,FIND(T$2,Mail!$A62)+LEN(T$2)+1,IF(ISERROR(FIND("■",Mail!$A62,FIND(T$2,Mail!$A62)+LEN(T$2))-FIND(T$2,Mail!$A62)-LEN(T$2)),LEN(Mail!$A62)-60-FIND(T$2,Mail!$A62)-LEN(T$2),FIND("■",Mail!$A62,FIND(T$2,Mail!$A62)+LEN(T$2))-FIND(T$2,Mail!$A62)-LEN(T$2)-1)))))</f>
        <v/>
      </c>
      <c r="U64" s="8" t="str">
        <f>TRIM(CLEAN(IF(ISERROR(FIND(U$2,Mail!$A62)),"",MID(Mail!$A62,FIND(U$2,Mail!$A62)+LEN(U$2)+1,IF(ISERROR(FIND("■",Mail!$A62,FIND(U$2,Mail!$A62)+LEN(U$2))-FIND(U$2,Mail!$A62)-LEN(U$2)),LEN(Mail!$A62)-60-FIND(U$2,Mail!$A62)-LEN(U$2),FIND("■",Mail!$A62,FIND(U$2,Mail!$A62)+LEN(U$2))-FIND(U$2,Mail!$A62)-LEN(U$2)-1)))))</f>
        <v/>
      </c>
      <c r="V64" s="8" t="str">
        <f>TRIM(CLEAN(IF(ISERROR(FIND(V$2,Mail!$A62)),"",MID(Mail!$A62,FIND(V$2,Mail!$A62)+LEN(V$2)+1,IF(ISERROR(FIND("■",Mail!$A62,FIND(V$2,Mail!$A62)+LEN(V$2))-FIND(V$2,Mail!$A62)-LEN(V$2)),LEN(Mail!$A62)-60-FIND(V$2,Mail!$A62)-LEN(V$2),FIND("■",Mail!$A62,FIND(V$2,Mail!$A62)+LEN(V$2))-FIND(V$2,Mail!$A62)-LEN(V$2)-1)))))</f>
        <v/>
      </c>
      <c r="W64" s="8" t="str">
        <f>TRIM(CLEAN(IF(ISERROR(FIND(W$2,Mail!$A62)),"",MID(Mail!$A62,FIND(W$2,Mail!$A62)+LEN(W$2)+1,IF(ISERROR(FIND("■",Mail!$A62,FIND(W$2,Mail!$A62)+LEN(W$2))-FIND(W$2,Mail!$A62)-LEN(W$2)),LEN(Mail!$A62)-60-FIND(W$2,Mail!$A62)-LEN(W$2),FIND("■",Mail!$A62,FIND(W$2,Mail!$A62)+LEN(W$2))-FIND(W$2,Mail!$A62)-LEN(W$2)-1)))))</f>
        <v/>
      </c>
      <c r="X64" s="8" t="str">
        <f>TRIM(IF(ISERROR(FIND(X$2,Mail!$A62)),"",MID(Mail!$A62,FIND(X$2,Mail!$A62)+LEN(X$2)+1,IF(ISERROR(FIND("■",Mail!$A62,FIND(X$2,Mail!$A62)+LEN(X$2))-FIND(X$2,Mail!$A62)-LEN(X$2)),LEN(Mail!$A62)-60-FIND(X$2,Mail!$A62)-LEN(X$2),FIND("■",Mail!$A62,FIND(X$2,Mail!$A62)+LEN(X$2))-FIND(X$2,Mail!$A62)-LEN(X$2)-1))))</f>
        <v/>
      </c>
      <c r="Y64" s="8" t="str">
        <f>TRIM(CLEAN(IF(ISERROR(FIND(Y$2,Mail!$A62)),"",MID(Mail!$A62,FIND(Y$2,Mail!$A62)+LEN(Y$2)+1,IF(ISERROR(FIND("■",Mail!$A62,FIND(Y$2,Mail!$A62)+LEN(Y$2))-FIND(Y$2,Mail!$A62)-LEN(Y$2)),LEN(Mail!$A62)-60-FIND(Y$2,Mail!$A62)-LEN(Y$2),FIND("■",Mail!$A62,FIND(Y$2,Mail!$A62)+LEN(Y$2))-FIND(Y$2,Mail!$A62)-LEN(Y$2)-1)))))</f>
        <v/>
      </c>
      <c r="Z64" s="8" t="str">
        <f>TRIM(CLEAN(IF(ISERROR(FIND(Z$2,Mail!$A62)),"",MID(Mail!$A62,FIND(Z$2,Mail!$A62)+LEN(Z$2)+1,IF(ISERROR(FIND("■",Mail!$A62,FIND(Z$2,Mail!$A62)+LEN(Z$2))-FIND(Z$2,Mail!$A62)-LEN(Z$2)),LEN(Mail!$A62)-60-FIND(Z$2,Mail!$A62)-LEN(Z$2),FIND("■",Mail!$A62,FIND(Z$2,Mail!$A62)+LEN(Z$2))-FIND(Z$2,Mail!$A62)-LEN(Z$2)-1)))))</f>
        <v/>
      </c>
      <c r="AA64" s="8" t="str">
        <f>TRIM(CLEAN(IF(ISERROR(FIND(AA$2,Mail!$A62)),"",MID(Mail!$A62,FIND(AA$2,Mail!$A62)+LEN(AA$2)+1,IF(ISERROR(FIND("■",Mail!$A62,FIND(AA$2,Mail!$A62)+LEN(AA$2))-FIND(AA$2,Mail!$A62)-LEN(AA$2)),LEN(Mail!$A62)-60-FIND(AA$2,Mail!$A62)-LEN(AA$2),FIND("■",Mail!$A62,FIND(AA$2,Mail!$A62)+LEN(AA$2))-FIND(AA$2,Mail!$A62)-LEN(AA$2)-1)))))</f>
        <v/>
      </c>
      <c r="AB64" s="8" t="str">
        <f>TRIM(CLEAN(IF(ISERROR(FIND(AB$2,Mail!$A62)),"",MID(Mail!$A62,FIND(AB$2,Mail!$A62)+LEN(AB$2)+1,IF(ISERROR(FIND("■",Mail!$A62,FIND(AB$2,Mail!$A62)+LEN(AB$2))-FIND(AB$2,Mail!$A62)-LEN(AB$2)),LEN(Mail!$A62)-60-FIND(AB$2,Mail!$A62)-LEN(AB$2),FIND("■",Mail!$A62,FIND(AB$2,Mail!$A62)+LEN(AB$2))-FIND(AB$2,Mail!$A62)-LEN(AB$2)-1)))))</f>
        <v/>
      </c>
      <c r="AC64" s="8" t="str">
        <f>TRIM(CLEAN(IF(ISERROR(FIND(AC$2,Mail!$A62)),"",MID(Mail!$A62,FIND(AC$2,Mail!$A62)+LEN(AC$2)+1,IF(ISERROR(FIND("■",Mail!$A62,FIND(AC$2,Mail!$A62)+LEN(AC$2))-FIND(AC$2,Mail!$A62)-LEN(AC$2)),LEN(Mail!$A62)-60-FIND(AC$2,Mail!$A62)-LEN(AC$2),FIND("■",Mail!$A62,FIND(AC$2,Mail!$A62)+LEN(AC$2))-FIND(AC$2,Mail!$A62)-LEN(AC$2)-1)))))</f>
        <v/>
      </c>
      <c r="AD64" s="8" t="str">
        <f>TRIM(CLEAN(IF(ISERROR(FIND(AD$2,Mail!$A62)),"",MID(Mail!$A62,FIND(AD$2,Mail!$A62)+LEN(AD$2)+1,IF(ISERROR(FIND("■",Mail!$A62,FIND(AD$2,Mail!$A62)+LEN(AD$2))-FIND(AD$2,Mail!$A62)-LEN(AD$2)),LEN(Mail!$A62)-60-FIND(AD$2,Mail!$A62)-LEN(AD$2),FIND("■",Mail!$A62,FIND(AD$2,Mail!$A62)+LEN(AD$2))-FIND(AD$2,Mail!$A62)-LEN(AD$2)-1)))))</f>
        <v/>
      </c>
      <c r="AE64" s="8" t="str">
        <f>TRIM(CLEAN(IF(ISERROR(FIND(AE$2,Mail!$A62)),"",MID(Mail!$A62,FIND(AE$2,Mail!$A62)+LEN(AE$2)+1,IF(ISERROR(FIND("■",Mail!$A62,FIND(AE$2,Mail!$A62)+LEN(AE$2))-FIND(AE$2,Mail!$A62)-LEN(AE$2)),LEN(Mail!$A62)-60-FIND(AE$2,Mail!$A62)-LEN(AE$2),FIND("■",Mail!$A62,FIND(AE$2,Mail!$A62)+LEN(AE$2))-FIND(AE$2,Mail!$A62)-LEN(AE$2)-1)))))</f>
        <v/>
      </c>
      <c r="AF64" s="8" t="str">
        <f>TRIM(CLEAN(IF(ISERROR(FIND(AF$2,Mail!$A62)),"",MID(Mail!$A62,FIND(AF$2,Mail!$A62)+LEN(AF$2)+1,IF(ISERROR(FIND("■",Mail!$A62,FIND(AF$2,Mail!$A62)+LEN(AF$2))-FIND(AF$2,Mail!$A62)-LEN(AF$2)),LEN(Mail!$A62)-60-FIND(AF$2,Mail!$A62)-LEN(AF$2),FIND("■",Mail!$A62,FIND(AF$2,Mail!$A62)+LEN(AF$2))-FIND(AF$2,Mail!$A62)-LEN(AF$2)-1)))))</f>
        <v/>
      </c>
      <c r="AG64" s="8" t="str">
        <f>TRIM(IF(ISERROR(FIND(AG$2,Mail!$A62)),"",MID(Mail!$A62,FIND(AG$2,Mail!$A62)+LEN(AG$2)+1,IF(ISERROR(FIND("■",Mail!$A62,FIND(AG$2,Mail!$A62)+LEN(AG$2))-FIND(AG$2,Mail!$A62)-LEN(AG$2)),LEN(Mail!$A62)-60-FIND(AG$2,Mail!$A62)-LEN(AG$2),FIND("■",Mail!$A62,FIND(AG$2,Mail!$A62)+LEN(AG$2))-FIND(AG$2,Mail!$A62)-LEN(AG$2)-1))))</f>
        <v/>
      </c>
      <c r="AH64" s="8" t="str">
        <f>TRIM(IF(ISERROR(FIND(AH$2,Mail!$A62)),"",MID(Mail!$A62,FIND(AH$2,Mail!$A62)+LEN(AH$2)+1,IF(ISERROR(FIND("■",Mail!$A62,FIND(AH$2,Mail!$A62)+LEN(AH$2))-FIND(AH$2,Mail!$A62)-LEN(AH$2)),LEN(Mail!$A62)-60-FIND(AH$2,Mail!$A62)-LEN(AH$2),FIND("■",Mail!$A62,FIND(AH$2,Mail!$A62)+LEN(AH$2))-FIND(AH$2,Mail!$A62)-LEN(AH$2)-1))))</f>
        <v/>
      </c>
      <c r="AI64" s="8" t="str">
        <f>TRIM(IF(ISERROR(FIND(AI$2,Mail!$A62)),"",MID(Mail!$A62,FIND(AI$2,Mail!$A62)+LEN(AI$2)+1,IF(ISERROR(FIND("■",Mail!$A62,FIND(AI$2,Mail!$A62)+LEN(AI$2))-FIND(AI$2,Mail!$A62)-LEN(AI$2)),LEN(Mail!$A62)-60-FIND(AI$2,Mail!$A62)-LEN(AI$2),FIND("■",Mail!$A62,FIND(AI$2,Mail!$A62)+LEN(AI$2))-FIND(AI$2,Mail!$A62)-LEN(AI$2)-1))))</f>
        <v/>
      </c>
    </row>
    <row r="65" spans="1:35" s="8" customFormat="1" x14ac:dyDescent="0.15">
      <c r="A65" s="9" t="str">
        <f t="shared" si="1"/>
        <v/>
      </c>
      <c r="B65" s="8" t="str">
        <f>CLEAN(SUBSTITUTE(IF(ISERROR(FIND("yokohama",Mail!$A63)),"",MID(Mail!$A63,FIND("yokohama",Mail!$A63)+LEN("yokohama")+1,FIND("件目",Mail!$A63,FIND("yokohama",Mail!$A63))-(FIND("yokohama",Mail!$A63)+LEN("yokohama")+1)))," ",""))</f>
        <v/>
      </c>
      <c r="C65" s="9" t="str">
        <f t="shared" si="4"/>
        <v/>
      </c>
      <c r="D65" s="9" t="str">
        <f t="shared" si="2"/>
        <v/>
      </c>
      <c r="E65" s="8" t="str">
        <f t="shared" si="3"/>
        <v/>
      </c>
      <c r="F65" s="8" t="str">
        <f>TRIM(CLEAN(IF(ISERROR(FIND(F$2,Mail!$A63)),"",MID(Mail!$A63,FIND(F$2,Mail!$A63)+LEN(F$2)+1,IF(ISERROR(FIND("■",Mail!$A63,FIND(F$2,Mail!$A63)+LEN(F$2))-FIND(F$2,Mail!$A63)-LEN(F$2)),LEN(Mail!$A63)-60-FIND(F$2,Mail!$A63)-LEN(F$2),FIND("■",Mail!$A63,FIND(F$2,Mail!$A63)+LEN(F$2))-FIND(F$2,Mail!$A63)-LEN(F$2)-1)))))</f>
        <v/>
      </c>
      <c r="G65" s="8" t="str">
        <f>TRIM(CLEAN(IF(ISERROR(FIND(G$2,Mail!$A63)),"",MID(Mail!$A63,FIND(G$2,Mail!$A63)+LEN(G$2)+1,IF(ISERROR(FIND("■",Mail!$A63,FIND(G$2,Mail!$A63)+LEN(G$2))-FIND(G$2,Mail!$A63)-LEN(G$2)),LEN(Mail!$A63)-60-FIND(G$2,Mail!$A63)-LEN(G$2),FIND("■",Mail!$A63,FIND(G$2,Mail!$A63)+LEN(G$2))-FIND(G$2,Mail!$A63)-LEN(G$2)-1)))))</f>
        <v/>
      </c>
      <c r="H65" s="8" t="str">
        <f>TRIM(CLEAN(IF(ISERROR(FIND(H$2,Mail!$A63)),"",MID(Mail!$A63,FIND(H$2,Mail!$A63)+LEN(H$2)+1,IF(ISERROR(FIND("■",Mail!$A63,FIND(H$2,Mail!$A63)+LEN(H$2))-FIND(H$2,Mail!$A63)-LEN(H$2)),LEN(Mail!$A63)-60-FIND(H$2,Mail!$A63)-LEN(H$2),FIND("■",Mail!$A63,FIND(H$2,Mail!$A63)+LEN(H$2))-FIND(H$2,Mail!$A63)-LEN(H$2)-1)))))</f>
        <v/>
      </c>
      <c r="I65" s="8" t="str">
        <f>TRIM(CLEAN(IF(ISERROR(FIND(I$2,Mail!$A63)),"",MID(Mail!$A63,FIND(I$2,Mail!$A63)+LEN(I$2)+1,IF(ISERROR(FIND("■",Mail!$A63,FIND(I$2,Mail!$A63)+LEN(I$2))-FIND(I$2,Mail!$A63)-LEN(I$2)),LEN(Mail!$A63)-60-FIND(I$2,Mail!$A63)-LEN(I$2),FIND("■",Mail!$A63,FIND(I$2,Mail!$A63)+LEN(I$2))-FIND(I$2,Mail!$A63)-LEN(I$2)-1)))))</f>
        <v/>
      </c>
      <c r="J65" s="8" t="str">
        <f>TRIM(IF(ISERROR(FIND(J$2,Mail!$A63)),"",MID(Mail!$A63,FIND(J$2,Mail!$A63)+LEN(J$2)+1,IF(ISERROR(FIND("■",Mail!$A63,FIND(J$2,Mail!$A63)+LEN(J$2))-FIND(J$2,Mail!$A63)-LEN(J$2)),LEN(Mail!$A63)-60-FIND(J$2,Mail!$A63)-LEN(J$2),FIND("■",Mail!$A63,FIND(J$2,Mail!$A63)+LEN(J$2))-FIND(J$2,Mail!$A63)-LEN(J$2)-1))))</f>
        <v/>
      </c>
      <c r="K65" s="8" t="str">
        <f>TRIM(IF(ISERROR(FIND(K$2,Mail!$A63)),"",MID(Mail!$A63,FIND(K$2,Mail!$A63)+LEN(K$2)+1,IF(ISERROR(FIND("■",Mail!$A63,FIND(K$2,Mail!$A63)+LEN(K$2))-FIND(K$2,Mail!$A63)-LEN(K$2)),LEN(Mail!$A63)-60-FIND(K$2,Mail!$A63)-LEN(K$2),FIND("■",Mail!$A63,FIND(K$2,Mail!$A63)+LEN(K$2))-FIND(K$2,Mail!$A63)-LEN(K$2)-1))))</f>
        <v/>
      </c>
      <c r="L65" s="8" t="str">
        <f>TRIM(IF(ISERROR(FIND(L$2,Mail!$A63)),"",MID(Mail!$A63,FIND(L$2,Mail!$A63)+LEN(L$2)+1,IF(ISERROR(FIND("■",Mail!$A63,FIND(L$2,Mail!$A63)+LEN(L$2))-FIND(L$2,Mail!$A63)-LEN(L$2)),LEN(Mail!$A63)-60-FIND(L$2,Mail!$A63)-LEN(L$2),FIND("■",Mail!$A63,FIND(L$2,Mail!$A63)+LEN(L$2))-FIND(L$2,Mail!$A63)-LEN(L$2)-1))))</f>
        <v/>
      </c>
      <c r="M65" s="8" t="str">
        <f>TRIM(CLEAN(IF(ISERROR(FIND(M$2,Mail!$A63)),"",MID(Mail!$A63,FIND(M$2,Mail!$A63)+LEN(M$2)+1,IF(ISERROR(FIND("■",Mail!$A63,FIND(M$2,Mail!$A63)+LEN(M$2))-FIND(M$2,Mail!$A63)-LEN(M$2)),LEN(Mail!$A63)-60-FIND(M$2,Mail!$A63)-LEN(M$2),FIND("■",Mail!$A63,FIND(M$2,Mail!$A63)+LEN(M$2))-FIND(M$2,Mail!$A63)-LEN(M$2)-1)))))</f>
        <v/>
      </c>
      <c r="N65" s="8" t="str">
        <f>TRIM(CLEAN(IF(ISERROR(FIND(N$2,Mail!$A63)),"",MID(Mail!$A63,FIND(N$2,Mail!$A63)+LEN(N$2)+1,IF(ISERROR(FIND("■",Mail!$A63,FIND(N$2,Mail!$A63)+LEN(N$2))-FIND(N$2,Mail!$A63)-LEN(N$2)),LEN(Mail!$A63)-60-FIND(N$2,Mail!$A63)-LEN(N$2),FIND("■",Mail!$A63,FIND(N$2,Mail!$A63)+LEN(N$2))-FIND(N$2,Mail!$A63)-LEN(N$2)-1)))))</f>
        <v/>
      </c>
      <c r="O65" s="8" t="str">
        <f>TRIM(CLEAN(IF(ISERROR(FIND(O$2,Mail!$A63)),"",MID(Mail!$A63,FIND(O$2,Mail!$A63)+LEN(O$2)+1,IF(ISERROR(FIND("■",Mail!$A63,FIND(O$2,Mail!$A63)+LEN(O$2))-FIND(O$2,Mail!$A63)-LEN(O$2)),LEN(Mail!$A63)-60-FIND(O$2,Mail!$A63)-LEN(O$2),FIND("■",Mail!$A63,FIND(O$2,Mail!$A63)+LEN(O$2))-FIND(O$2,Mail!$A63)-LEN(O$2)-1)))))</f>
        <v/>
      </c>
      <c r="P65" s="8" t="str">
        <f>TRIM(CLEAN(IF(ISERROR(FIND(P$2,Mail!$A63)),"",MID(Mail!$A63,FIND(P$2,Mail!$A63)+LEN(P$2)+1,IF(ISERROR(FIND("■",Mail!$A63,FIND(P$2,Mail!$A63)+LEN(P$2))-FIND(P$2,Mail!$A63)-LEN(P$2)),LEN(Mail!$A63)-60-FIND(P$2,Mail!$A63)-LEN(P$2),FIND("■",Mail!$A63,FIND(P$2,Mail!$A63)+LEN(P$2))-FIND(P$2,Mail!$A63)-LEN(P$2)-1)))))</f>
        <v/>
      </c>
      <c r="Q65" s="8" t="str">
        <f>TRIM(CLEAN(IF(ISERROR(FIND(Q$2,Mail!$A63)),"",MID(Mail!$A63,FIND(Q$2,Mail!$A63)+LEN(Q$2)+1,IF(ISERROR(FIND("■",Mail!$A63,FIND(Q$2,Mail!$A63)+LEN(Q$2))-FIND(Q$2,Mail!$A63)-LEN(Q$2)),LEN(Mail!$A63)-60-FIND(Q$2,Mail!$A63)-LEN(Q$2),FIND("■",Mail!$A63,FIND(Q$2,Mail!$A63)+LEN(Q$2))-FIND(Q$2,Mail!$A63)-LEN(Q$2)-1)))))</f>
        <v/>
      </c>
      <c r="R65" s="8" t="str">
        <f>TRIM(CLEAN(IF(ISERROR(FIND(R$2,Mail!$A63)),"",MID(Mail!$A63,FIND(R$2,Mail!$A63)+LEN(R$2)+1,IF(ISERROR(FIND("■",Mail!$A63,FIND(R$2,Mail!$A63)+LEN(R$2))-FIND(R$2,Mail!$A63)-LEN(R$2)),LEN(Mail!$A63)-60-FIND(R$2,Mail!$A63)-LEN(R$2),FIND("■",Mail!$A63,FIND(R$2,Mail!$A63)+LEN(R$2))-FIND(R$2,Mail!$A63)-LEN(R$2)-1)))))</f>
        <v/>
      </c>
      <c r="S65" s="8" t="str">
        <f>TRIM(CLEAN(IF(ISERROR(FIND(S$2,Mail!$A63)),"",MID(Mail!$A63,FIND(S$2,Mail!$A63)+LEN(S$2)+1,IF(ISERROR(FIND("■",Mail!$A63,FIND(S$2,Mail!$A63)+LEN(S$2))-FIND(S$2,Mail!$A63)-LEN(S$2)),LEN(Mail!$A63)-60-FIND(S$2,Mail!$A63)-LEN(S$2),FIND("■",Mail!$A63,FIND(S$2,Mail!$A63)+LEN(S$2))-FIND(S$2,Mail!$A63)-LEN(S$2)-1)))))</f>
        <v/>
      </c>
      <c r="T65" s="8" t="str">
        <f>TRIM(CLEAN(IF(ISERROR(FIND(T$2,Mail!$A63)),"",MID(Mail!$A63,FIND(T$2,Mail!$A63)+LEN(T$2)+1,IF(ISERROR(FIND("■",Mail!$A63,FIND(T$2,Mail!$A63)+LEN(T$2))-FIND(T$2,Mail!$A63)-LEN(T$2)),LEN(Mail!$A63)-60-FIND(T$2,Mail!$A63)-LEN(T$2),FIND("■",Mail!$A63,FIND(T$2,Mail!$A63)+LEN(T$2))-FIND(T$2,Mail!$A63)-LEN(T$2)-1)))))</f>
        <v/>
      </c>
      <c r="U65" s="8" t="str">
        <f>TRIM(CLEAN(IF(ISERROR(FIND(U$2,Mail!$A63)),"",MID(Mail!$A63,FIND(U$2,Mail!$A63)+LEN(U$2)+1,IF(ISERROR(FIND("■",Mail!$A63,FIND(U$2,Mail!$A63)+LEN(U$2))-FIND(U$2,Mail!$A63)-LEN(U$2)),LEN(Mail!$A63)-60-FIND(U$2,Mail!$A63)-LEN(U$2),FIND("■",Mail!$A63,FIND(U$2,Mail!$A63)+LEN(U$2))-FIND(U$2,Mail!$A63)-LEN(U$2)-1)))))</f>
        <v/>
      </c>
      <c r="V65" s="8" t="str">
        <f>TRIM(CLEAN(IF(ISERROR(FIND(V$2,Mail!$A63)),"",MID(Mail!$A63,FIND(V$2,Mail!$A63)+LEN(V$2)+1,IF(ISERROR(FIND("■",Mail!$A63,FIND(V$2,Mail!$A63)+LEN(V$2))-FIND(V$2,Mail!$A63)-LEN(V$2)),LEN(Mail!$A63)-60-FIND(V$2,Mail!$A63)-LEN(V$2),FIND("■",Mail!$A63,FIND(V$2,Mail!$A63)+LEN(V$2))-FIND(V$2,Mail!$A63)-LEN(V$2)-1)))))</f>
        <v/>
      </c>
      <c r="W65" s="8" t="str">
        <f>TRIM(CLEAN(IF(ISERROR(FIND(W$2,Mail!$A63)),"",MID(Mail!$A63,FIND(W$2,Mail!$A63)+LEN(W$2)+1,IF(ISERROR(FIND("■",Mail!$A63,FIND(W$2,Mail!$A63)+LEN(W$2))-FIND(W$2,Mail!$A63)-LEN(W$2)),LEN(Mail!$A63)-60-FIND(W$2,Mail!$A63)-LEN(W$2),FIND("■",Mail!$A63,FIND(W$2,Mail!$A63)+LEN(W$2))-FIND(W$2,Mail!$A63)-LEN(W$2)-1)))))</f>
        <v/>
      </c>
      <c r="X65" s="8" t="str">
        <f>TRIM(IF(ISERROR(FIND(X$2,Mail!$A63)),"",MID(Mail!$A63,FIND(X$2,Mail!$A63)+LEN(X$2)+1,IF(ISERROR(FIND("■",Mail!$A63,FIND(X$2,Mail!$A63)+LEN(X$2))-FIND(X$2,Mail!$A63)-LEN(X$2)),LEN(Mail!$A63)-60-FIND(X$2,Mail!$A63)-LEN(X$2),FIND("■",Mail!$A63,FIND(X$2,Mail!$A63)+LEN(X$2))-FIND(X$2,Mail!$A63)-LEN(X$2)-1))))</f>
        <v/>
      </c>
      <c r="Y65" s="8" t="str">
        <f>TRIM(CLEAN(IF(ISERROR(FIND(Y$2,Mail!$A63)),"",MID(Mail!$A63,FIND(Y$2,Mail!$A63)+LEN(Y$2)+1,IF(ISERROR(FIND("■",Mail!$A63,FIND(Y$2,Mail!$A63)+LEN(Y$2))-FIND(Y$2,Mail!$A63)-LEN(Y$2)),LEN(Mail!$A63)-60-FIND(Y$2,Mail!$A63)-LEN(Y$2),FIND("■",Mail!$A63,FIND(Y$2,Mail!$A63)+LEN(Y$2))-FIND(Y$2,Mail!$A63)-LEN(Y$2)-1)))))</f>
        <v/>
      </c>
      <c r="Z65" s="8" t="str">
        <f>TRIM(CLEAN(IF(ISERROR(FIND(Z$2,Mail!$A63)),"",MID(Mail!$A63,FIND(Z$2,Mail!$A63)+LEN(Z$2)+1,IF(ISERROR(FIND("■",Mail!$A63,FIND(Z$2,Mail!$A63)+LEN(Z$2))-FIND(Z$2,Mail!$A63)-LEN(Z$2)),LEN(Mail!$A63)-60-FIND(Z$2,Mail!$A63)-LEN(Z$2),FIND("■",Mail!$A63,FIND(Z$2,Mail!$A63)+LEN(Z$2))-FIND(Z$2,Mail!$A63)-LEN(Z$2)-1)))))</f>
        <v/>
      </c>
      <c r="AA65" s="8" t="str">
        <f>TRIM(CLEAN(IF(ISERROR(FIND(AA$2,Mail!$A63)),"",MID(Mail!$A63,FIND(AA$2,Mail!$A63)+LEN(AA$2)+1,IF(ISERROR(FIND("■",Mail!$A63,FIND(AA$2,Mail!$A63)+LEN(AA$2))-FIND(AA$2,Mail!$A63)-LEN(AA$2)),LEN(Mail!$A63)-60-FIND(AA$2,Mail!$A63)-LEN(AA$2),FIND("■",Mail!$A63,FIND(AA$2,Mail!$A63)+LEN(AA$2))-FIND(AA$2,Mail!$A63)-LEN(AA$2)-1)))))</f>
        <v/>
      </c>
      <c r="AB65" s="8" t="str">
        <f>TRIM(CLEAN(IF(ISERROR(FIND(AB$2,Mail!$A63)),"",MID(Mail!$A63,FIND(AB$2,Mail!$A63)+LEN(AB$2)+1,IF(ISERROR(FIND("■",Mail!$A63,FIND(AB$2,Mail!$A63)+LEN(AB$2))-FIND(AB$2,Mail!$A63)-LEN(AB$2)),LEN(Mail!$A63)-60-FIND(AB$2,Mail!$A63)-LEN(AB$2),FIND("■",Mail!$A63,FIND(AB$2,Mail!$A63)+LEN(AB$2))-FIND(AB$2,Mail!$A63)-LEN(AB$2)-1)))))</f>
        <v/>
      </c>
      <c r="AC65" s="8" t="str">
        <f>TRIM(CLEAN(IF(ISERROR(FIND(AC$2,Mail!$A63)),"",MID(Mail!$A63,FIND(AC$2,Mail!$A63)+LEN(AC$2)+1,IF(ISERROR(FIND("■",Mail!$A63,FIND(AC$2,Mail!$A63)+LEN(AC$2))-FIND(AC$2,Mail!$A63)-LEN(AC$2)),LEN(Mail!$A63)-60-FIND(AC$2,Mail!$A63)-LEN(AC$2),FIND("■",Mail!$A63,FIND(AC$2,Mail!$A63)+LEN(AC$2))-FIND(AC$2,Mail!$A63)-LEN(AC$2)-1)))))</f>
        <v/>
      </c>
      <c r="AD65" s="8" t="str">
        <f>TRIM(CLEAN(IF(ISERROR(FIND(AD$2,Mail!$A63)),"",MID(Mail!$A63,FIND(AD$2,Mail!$A63)+LEN(AD$2)+1,IF(ISERROR(FIND("■",Mail!$A63,FIND(AD$2,Mail!$A63)+LEN(AD$2))-FIND(AD$2,Mail!$A63)-LEN(AD$2)),LEN(Mail!$A63)-60-FIND(AD$2,Mail!$A63)-LEN(AD$2),FIND("■",Mail!$A63,FIND(AD$2,Mail!$A63)+LEN(AD$2))-FIND(AD$2,Mail!$A63)-LEN(AD$2)-1)))))</f>
        <v/>
      </c>
      <c r="AE65" s="8" t="str">
        <f>TRIM(CLEAN(IF(ISERROR(FIND(AE$2,Mail!$A63)),"",MID(Mail!$A63,FIND(AE$2,Mail!$A63)+LEN(AE$2)+1,IF(ISERROR(FIND("■",Mail!$A63,FIND(AE$2,Mail!$A63)+LEN(AE$2))-FIND(AE$2,Mail!$A63)-LEN(AE$2)),LEN(Mail!$A63)-60-FIND(AE$2,Mail!$A63)-LEN(AE$2),FIND("■",Mail!$A63,FIND(AE$2,Mail!$A63)+LEN(AE$2))-FIND(AE$2,Mail!$A63)-LEN(AE$2)-1)))))</f>
        <v/>
      </c>
      <c r="AF65" s="8" t="str">
        <f>TRIM(CLEAN(IF(ISERROR(FIND(AF$2,Mail!$A63)),"",MID(Mail!$A63,FIND(AF$2,Mail!$A63)+LEN(AF$2)+1,IF(ISERROR(FIND("■",Mail!$A63,FIND(AF$2,Mail!$A63)+LEN(AF$2))-FIND(AF$2,Mail!$A63)-LEN(AF$2)),LEN(Mail!$A63)-60-FIND(AF$2,Mail!$A63)-LEN(AF$2),FIND("■",Mail!$A63,FIND(AF$2,Mail!$A63)+LEN(AF$2))-FIND(AF$2,Mail!$A63)-LEN(AF$2)-1)))))</f>
        <v/>
      </c>
      <c r="AG65" s="8" t="str">
        <f>TRIM(IF(ISERROR(FIND(AG$2,Mail!$A63)),"",MID(Mail!$A63,FIND(AG$2,Mail!$A63)+LEN(AG$2)+1,IF(ISERROR(FIND("■",Mail!$A63,FIND(AG$2,Mail!$A63)+LEN(AG$2))-FIND(AG$2,Mail!$A63)-LEN(AG$2)),LEN(Mail!$A63)-60-FIND(AG$2,Mail!$A63)-LEN(AG$2),FIND("■",Mail!$A63,FIND(AG$2,Mail!$A63)+LEN(AG$2))-FIND(AG$2,Mail!$A63)-LEN(AG$2)-1))))</f>
        <v/>
      </c>
      <c r="AH65" s="8" t="str">
        <f>TRIM(IF(ISERROR(FIND(AH$2,Mail!$A63)),"",MID(Mail!$A63,FIND(AH$2,Mail!$A63)+LEN(AH$2)+1,IF(ISERROR(FIND("■",Mail!$A63,FIND(AH$2,Mail!$A63)+LEN(AH$2))-FIND(AH$2,Mail!$A63)-LEN(AH$2)),LEN(Mail!$A63)-60-FIND(AH$2,Mail!$A63)-LEN(AH$2),FIND("■",Mail!$A63,FIND(AH$2,Mail!$A63)+LEN(AH$2))-FIND(AH$2,Mail!$A63)-LEN(AH$2)-1))))</f>
        <v/>
      </c>
      <c r="AI65" s="8" t="str">
        <f>TRIM(IF(ISERROR(FIND(AI$2,Mail!$A63)),"",MID(Mail!$A63,FIND(AI$2,Mail!$A63)+LEN(AI$2)+1,IF(ISERROR(FIND("■",Mail!$A63,FIND(AI$2,Mail!$A63)+LEN(AI$2))-FIND(AI$2,Mail!$A63)-LEN(AI$2)),LEN(Mail!$A63)-60-FIND(AI$2,Mail!$A63)-LEN(AI$2),FIND("■",Mail!$A63,FIND(AI$2,Mail!$A63)+LEN(AI$2))-FIND(AI$2,Mail!$A63)-LEN(AI$2)-1))))</f>
        <v/>
      </c>
    </row>
    <row r="66" spans="1:35" x14ac:dyDescent="0.15">
      <c r="A66" s="9" t="str">
        <f t="shared" si="1"/>
        <v/>
      </c>
      <c r="B66" s="8" t="str">
        <f>CLEAN(SUBSTITUTE(IF(ISERROR(FIND("yokohama",Mail!$A64)),"",MID(Mail!$A64,FIND("yokohama",Mail!$A64)+LEN("yokohama")+1,FIND("件目",Mail!$A64,FIND("yokohama",Mail!$A64))-(FIND("yokohama",Mail!$A64)+LEN("yokohama")+1)))," ",""))</f>
        <v/>
      </c>
      <c r="C66" s="2" t="str">
        <f t="shared" si="4"/>
        <v/>
      </c>
      <c r="D66" s="9" t="str">
        <f t="shared" si="2"/>
        <v/>
      </c>
      <c r="E66" s="8" t="str">
        <f t="shared" si="3"/>
        <v/>
      </c>
      <c r="F66" t="str">
        <f>TRIM(CLEAN(IF(ISERROR(FIND(F$2,Mail!$A64)),"",MID(Mail!$A64,FIND(F$2,Mail!$A64)+LEN(F$2)+1,IF(ISERROR(FIND("■",Mail!$A64,FIND(F$2,Mail!$A64)+LEN(F$2))-FIND(F$2,Mail!$A64)-LEN(F$2)),LEN(Mail!$A64)-60-FIND(F$2,Mail!$A64)-LEN(F$2),FIND("■",Mail!$A64,FIND(F$2,Mail!$A64)+LEN(F$2))-FIND(F$2,Mail!$A64)-LEN(F$2)-1)))))</f>
        <v/>
      </c>
      <c r="G66" t="str">
        <f>TRIM(CLEAN(IF(ISERROR(FIND(G$2,Mail!$A64)),"",MID(Mail!$A64,FIND(G$2,Mail!$A64)+LEN(G$2)+1,IF(ISERROR(FIND("■",Mail!$A64,FIND(G$2,Mail!$A64)+LEN(G$2))-FIND(G$2,Mail!$A64)-LEN(G$2)),LEN(Mail!$A64)-60-FIND(G$2,Mail!$A64)-LEN(G$2),FIND("■",Mail!$A64,FIND(G$2,Mail!$A64)+LEN(G$2))-FIND(G$2,Mail!$A64)-LEN(G$2)-1)))))</f>
        <v/>
      </c>
      <c r="H66" s="8" t="str">
        <f>TRIM(CLEAN(IF(ISERROR(FIND(H$2,Mail!$A64)),"",MID(Mail!$A64,FIND(H$2,Mail!$A64)+LEN(H$2)+1,IF(ISERROR(FIND("■",Mail!$A64,FIND(H$2,Mail!$A64)+LEN(H$2))-FIND(H$2,Mail!$A64)-LEN(H$2)),LEN(Mail!$A64)-60-FIND(H$2,Mail!$A64)-LEN(H$2),FIND("■",Mail!$A64,FIND(H$2,Mail!$A64)+LEN(H$2))-FIND(H$2,Mail!$A64)-LEN(H$2)-1)))))</f>
        <v/>
      </c>
      <c r="I66" t="str">
        <f>TRIM(CLEAN(IF(ISERROR(FIND(I$2,Mail!$A64)),"",MID(Mail!$A64,FIND(I$2,Mail!$A64)+LEN(I$2)+1,IF(ISERROR(FIND("■",Mail!$A64,FIND(I$2,Mail!$A64)+LEN(I$2))-FIND(I$2,Mail!$A64)-LEN(I$2)),LEN(Mail!$A64)-60-FIND(I$2,Mail!$A64)-LEN(I$2),FIND("■",Mail!$A64,FIND(I$2,Mail!$A64)+LEN(I$2))-FIND(I$2,Mail!$A64)-LEN(I$2)-1)))))</f>
        <v/>
      </c>
      <c r="J66" t="str">
        <f>TRIM(IF(ISERROR(FIND(J$2,Mail!$A64)),"",MID(Mail!$A64,FIND(J$2,Mail!$A64)+LEN(J$2)+1,IF(ISERROR(FIND("■",Mail!$A64,FIND(J$2,Mail!$A64)+LEN(J$2))-FIND(J$2,Mail!$A64)-LEN(J$2)),LEN(Mail!$A64)-60-FIND(J$2,Mail!$A64)-LEN(J$2),FIND("■",Mail!$A64,FIND(J$2,Mail!$A64)+LEN(J$2))-FIND(J$2,Mail!$A64)-LEN(J$2)-1))))</f>
        <v/>
      </c>
      <c r="K66" t="str">
        <f>TRIM(IF(ISERROR(FIND(K$2,Mail!$A64)),"",MID(Mail!$A64,FIND(K$2,Mail!$A64)+LEN(K$2)+1,IF(ISERROR(FIND("■",Mail!$A64,FIND(K$2,Mail!$A64)+LEN(K$2))-FIND(K$2,Mail!$A64)-LEN(K$2)),LEN(Mail!$A64)-60-FIND(K$2,Mail!$A64)-LEN(K$2),FIND("■",Mail!$A64,FIND(K$2,Mail!$A64)+LEN(K$2))-FIND(K$2,Mail!$A64)-LEN(K$2)-1))))</f>
        <v/>
      </c>
      <c r="L66" t="str">
        <f>TRIM(IF(ISERROR(FIND(L$2,Mail!$A64)),"",MID(Mail!$A64,FIND(L$2,Mail!$A64)+LEN(L$2)+1,IF(ISERROR(FIND("■",Mail!$A64,FIND(L$2,Mail!$A64)+LEN(L$2))-FIND(L$2,Mail!$A64)-LEN(L$2)),LEN(Mail!$A64)-60-FIND(L$2,Mail!$A64)-LEN(L$2),FIND("■",Mail!$A64,FIND(L$2,Mail!$A64)+LEN(L$2))-FIND(L$2,Mail!$A64)-LEN(L$2)-1))))</f>
        <v/>
      </c>
      <c r="M66" t="str">
        <f>TRIM(CLEAN(IF(ISERROR(FIND(M$2,Mail!$A64)),"",MID(Mail!$A64,FIND(M$2,Mail!$A64)+LEN(M$2)+1,IF(ISERROR(FIND("■",Mail!$A64,FIND(M$2,Mail!$A64)+LEN(M$2))-FIND(M$2,Mail!$A64)-LEN(M$2)),LEN(Mail!$A64)-60-FIND(M$2,Mail!$A64)-LEN(M$2),FIND("■",Mail!$A64,FIND(M$2,Mail!$A64)+LEN(M$2))-FIND(M$2,Mail!$A64)-LEN(M$2)-1)))))</f>
        <v/>
      </c>
      <c r="N66" t="str">
        <f>TRIM(CLEAN(IF(ISERROR(FIND(N$2,Mail!$A64)),"",MID(Mail!$A64,FIND(N$2,Mail!$A64)+LEN(N$2)+1,IF(ISERROR(FIND("■",Mail!$A64,FIND(N$2,Mail!$A64)+LEN(N$2))-FIND(N$2,Mail!$A64)-LEN(N$2)),LEN(Mail!$A64)-60-FIND(N$2,Mail!$A64)-LEN(N$2),FIND("■",Mail!$A64,FIND(N$2,Mail!$A64)+LEN(N$2))-FIND(N$2,Mail!$A64)-LEN(N$2)-1)))))</f>
        <v/>
      </c>
      <c r="O66" t="str">
        <f>TRIM(CLEAN(IF(ISERROR(FIND(O$2,Mail!$A64)),"",MID(Mail!$A64,FIND(O$2,Mail!$A64)+LEN(O$2)+1,IF(ISERROR(FIND("■",Mail!$A64,FIND(O$2,Mail!$A64)+LEN(O$2))-FIND(O$2,Mail!$A64)-LEN(O$2)),LEN(Mail!$A64)-60-FIND(O$2,Mail!$A64)-LEN(O$2),FIND("■",Mail!$A64,FIND(O$2,Mail!$A64)+LEN(O$2))-FIND(O$2,Mail!$A64)-LEN(O$2)-1)))))</f>
        <v/>
      </c>
      <c r="P66" t="str">
        <f>TRIM(CLEAN(IF(ISERROR(FIND(P$2,Mail!$A64)),"",MID(Mail!$A64,FIND(P$2,Mail!$A64)+LEN(P$2)+1,IF(ISERROR(FIND("■",Mail!$A64,FIND(P$2,Mail!$A64)+LEN(P$2))-FIND(P$2,Mail!$A64)-LEN(P$2)),LEN(Mail!$A64)-60-FIND(P$2,Mail!$A64)-LEN(P$2),FIND("■",Mail!$A64,FIND(P$2,Mail!$A64)+LEN(P$2))-FIND(P$2,Mail!$A64)-LEN(P$2)-1)))))</f>
        <v/>
      </c>
      <c r="Q66" t="str">
        <f>TRIM(CLEAN(IF(ISERROR(FIND(Q$2,Mail!$A64)),"",MID(Mail!$A64,FIND(Q$2,Mail!$A64)+LEN(Q$2)+1,IF(ISERROR(FIND("■",Mail!$A64,FIND(Q$2,Mail!$A64)+LEN(Q$2))-FIND(Q$2,Mail!$A64)-LEN(Q$2)),LEN(Mail!$A64)-60-FIND(Q$2,Mail!$A64)-LEN(Q$2),FIND("■",Mail!$A64,FIND(Q$2,Mail!$A64)+LEN(Q$2))-FIND(Q$2,Mail!$A64)-LEN(Q$2)-1)))))</f>
        <v/>
      </c>
      <c r="R66" s="8" t="str">
        <f>TRIM(CLEAN(IF(ISERROR(FIND(R$2,Mail!$A64)),"",MID(Mail!$A64,FIND(R$2,Mail!$A64)+LEN(R$2)+1,IF(ISERROR(FIND("■",Mail!$A64,FIND(R$2,Mail!$A64)+LEN(R$2))-FIND(R$2,Mail!$A64)-LEN(R$2)),LEN(Mail!$A64)-60-FIND(R$2,Mail!$A64)-LEN(R$2),FIND("■",Mail!$A64,FIND(R$2,Mail!$A64)+LEN(R$2))-FIND(R$2,Mail!$A64)-LEN(R$2)-1)))))</f>
        <v/>
      </c>
      <c r="S66" t="str">
        <f>TRIM(CLEAN(IF(ISERROR(FIND(S$2,Mail!$A64)),"",MID(Mail!$A64,FIND(S$2,Mail!$A64)+LEN(S$2)+1,IF(ISERROR(FIND("■",Mail!$A64,FIND(S$2,Mail!$A64)+LEN(S$2))-FIND(S$2,Mail!$A64)-LEN(S$2)),LEN(Mail!$A64)-60-FIND(S$2,Mail!$A64)-LEN(S$2),FIND("■",Mail!$A64,FIND(S$2,Mail!$A64)+LEN(S$2))-FIND(S$2,Mail!$A64)-LEN(S$2)-1)))))</f>
        <v/>
      </c>
      <c r="T66" t="str">
        <f>TRIM(CLEAN(IF(ISERROR(FIND(T$2,Mail!$A64)),"",MID(Mail!$A64,FIND(T$2,Mail!$A64)+LEN(T$2)+1,IF(ISERROR(FIND("■",Mail!$A64,FIND(T$2,Mail!$A64)+LEN(T$2))-FIND(T$2,Mail!$A64)-LEN(T$2)),LEN(Mail!$A64)-60-FIND(T$2,Mail!$A64)-LEN(T$2),FIND("■",Mail!$A64,FIND(T$2,Mail!$A64)+LEN(T$2))-FIND(T$2,Mail!$A64)-LEN(T$2)-1)))))</f>
        <v/>
      </c>
      <c r="U66" t="str">
        <f>TRIM(CLEAN(IF(ISERROR(FIND(U$2,Mail!$A64)),"",MID(Mail!$A64,FIND(U$2,Mail!$A64)+LEN(U$2)+1,IF(ISERROR(FIND("■",Mail!$A64,FIND(U$2,Mail!$A64)+LEN(U$2))-FIND(U$2,Mail!$A64)-LEN(U$2)),LEN(Mail!$A64)-60-FIND(U$2,Mail!$A64)-LEN(U$2),FIND("■",Mail!$A64,FIND(U$2,Mail!$A64)+LEN(U$2))-FIND(U$2,Mail!$A64)-LEN(U$2)-1)))))</f>
        <v/>
      </c>
      <c r="V66" t="str">
        <f>TRIM(CLEAN(IF(ISERROR(FIND(V$2,Mail!$A64)),"",MID(Mail!$A64,FIND(V$2,Mail!$A64)+LEN(V$2)+1,IF(ISERROR(FIND("■",Mail!$A64,FIND(V$2,Mail!$A64)+LEN(V$2))-FIND(V$2,Mail!$A64)-LEN(V$2)),LEN(Mail!$A64)-60-FIND(V$2,Mail!$A64)-LEN(V$2),FIND("■",Mail!$A64,FIND(V$2,Mail!$A64)+LEN(V$2))-FIND(V$2,Mail!$A64)-LEN(V$2)-1)))))</f>
        <v/>
      </c>
      <c r="W66" t="str">
        <f>TRIM(CLEAN(IF(ISERROR(FIND(W$2,Mail!$A64)),"",MID(Mail!$A64,FIND(W$2,Mail!$A64)+LEN(W$2)+1,IF(ISERROR(FIND("■",Mail!$A64,FIND(W$2,Mail!$A64)+LEN(W$2))-FIND(W$2,Mail!$A64)-LEN(W$2)),LEN(Mail!$A64)-60-FIND(W$2,Mail!$A64)-LEN(W$2),FIND("■",Mail!$A64,FIND(W$2,Mail!$A64)+LEN(W$2))-FIND(W$2,Mail!$A64)-LEN(W$2)-1)))))</f>
        <v/>
      </c>
      <c r="X66" t="str">
        <f>TRIM(IF(ISERROR(FIND(X$2,Mail!$A64)),"",MID(Mail!$A64,FIND(X$2,Mail!$A64)+LEN(X$2)+1,IF(ISERROR(FIND("■",Mail!$A64,FIND(X$2,Mail!$A64)+LEN(X$2))-FIND(X$2,Mail!$A64)-LEN(X$2)),LEN(Mail!$A64)-60-FIND(X$2,Mail!$A64)-LEN(X$2),FIND("■",Mail!$A64,FIND(X$2,Mail!$A64)+LEN(X$2))-FIND(X$2,Mail!$A64)-LEN(X$2)-1))))</f>
        <v/>
      </c>
      <c r="Y66" t="str">
        <f>TRIM(CLEAN(IF(ISERROR(FIND(Y$2,Mail!$A64)),"",MID(Mail!$A64,FIND(Y$2,Mail!$A64)+LEN(Y$2)+1,IF(ISERROR(FIND("■",Mail!$A64,FIND(Y$2,Mail!$A64)+LEN(Y$2))-FIND(Y$2,Mail!$A64)-LEN(Y$2)),LEN(Mail!$A64)-60-FIND(Y$2,Mail!$A64)-LEN(Y$2),FIND("■",Mail!$A64,FIND(Y$2,Mail!$A64)+LEN(Y$2))-FIND(Y$2,Mail!$A64)-LEN(Y$2)-1)))))</f>
        <v/>
      </c>
      <c r="Z66" t="str">
        <f>TRIM(CLEAN(IF(ISERROR(FIND(Z$2,Mail!$A64)),"",MID(Mail!$A64,FIND(Z$2,Mail!$A64)+LEN(Z$2)+1,IF(ISERROR(FIND("■",Mail!$A64,FIND(Z$2,Mail!$A64)+LEN(Z$2))-FIND(Z$2,Mail!$A64)-LEN(Z$2)),LEN(Mail!$A64)-60-FIND(Z$2,Mail!$A64)-LEN(Z$2),FIND("■",Mail!$A64,FIND(Z$2,Mail!$A64)+LEN(Z$2))-FIND(Z$2,Mail!$A64)-LEN(Z$2)-1)))))</f>
        <v/>
      </c>
      <c r="AA66" t="str">
        <f>TRIM(CLEAN(IF(ISERROR(FIND(AA$2,Mail!$A64)),"",MID(Mail!$A64,FIND(AA$2,Mail!$A64)+LEN(AA$2)+1,IF(ISERROR(FIND("■",Mail!$A64,FIND(AA$2,Mail!$A64)+LEN(AA$2))-FIND(AA$2,Mail!$A64)-LEN(AA$2)),LEN(Mail!$A64)-60-FIND(AA$2,Mail!$A64)-LEN(AA$2),FIND("■",Mail!$A64,FIND(AA$2,Mail!$A64)+LEN(AA$2))-FIND(AA$2,Mail!$A64)-LEN(AA$2)-1)))))</f>
        <v/>
      </c>
      <c r="AB66" t="str">
        <f>TRIM(CLEAN(IF(ISERROR(FIND(AB$2,Mail!$A64)),"",MID(Mail!$A64,FIND(AB$2,Mail!$A64)+LEN(AB$2)+1,IF(ISERROR(FIND("■",Mail!$A64,FIND(AB$2,Mail!$A64)+LEN(AB$2))-FIND(AB$2,Mail!$A64)-LEN(AB$2)),LEN(Mail!$A64)-60-FIND(AB$2,Mail!$A64)-LEN(AB$2),FIND("■",Mail!$A64,FIND(AB$2,Mail!$A64)+LEN(AB$2))-FIND(AB$2,Mail!$A64)-LEN(AB$2)-1)))))</f>
        <v/>
      </c>
      <c r="AC66" s="8" t="str">
        <f>TRIM(CLEAN(IF(ISERROR(FIND(AC$2,Mail!$A64)),"",MID(Mail!$A64,FIND(AC$2,Mail!$A64)+LEN(AC$2)+1,IF(ISERROR(FIND("■",Mail!$A64,FIND(AC$2,Mail!$A64)+LEN(AC$2))-FIND(AC$2,Mail!$A64)-LEN(AC$2)),LEN(Mail!$A64)-60-FIND(AC$2,Mail!$A64)-LEN(AC$2),FIND("■",Mail!$A64,FIND(AC$2,Mail!$A64)+LEN(AC$2))-FIND(AC$2,Mail!$A64)-LEN(AC$2)-1)))))</f>
        <v/>
      </c>
      <c r="AD66" t="str">
        <f>TRIM(CLEAN(IF(ISERROR(FIND(AD$2,Mail!$A64)),"",MID(Mail!$A64,FIND(AD$2,Mail!$A64)+LEN(AD$2)+1,IF(ISERROR(FIND("■",Mail!$A64,FIND(AD$2,Mail!$A64)+LEN(AD$2))-FIND(AD$2,Mail!$A64)-LEN(AD$2)),LEN(Mail!$A64)-60-FIND(AD$2,Mail!$A64)-LEN(AD$2),FIND("■",Mail!$A64,FIND(AD$2,Mail!$A64)+LEN(AD$2))-FIND(AD$2,Mail!$A64)-LEN(AD$2)-1)))))</f>
        <v/>
      </c>
      <c r="AE66" t="str">
        <f>TRIM(CLEAN(IF(ISERROR(FIND(AE$2,Mail!$A64)),"",MID(Mail!$A64,FIND(AE$2,Mail!$A64)+LEN(AE$2)+1,IF(ISERROR(FIND("■",Mail!$A64,FIND(AE$2,Mail!$A64)+LEN(AE$2))-FIND(AE$2,Mail!$A64)-LEN(AE$2)),LEN(Mail!$A64)-60-FIND(AE$2,Mail!$A64)-LEN(AE$2),FIND("■",Mail!$A64,FIND(AE$2,Mail!$A64)+LEN(AE$2))-FIND(AE$2,Mail!$A64)-LEN(AE$2)-1)))))</f>
        <v/>
      </c>
      <c r="AF66" t="str">
        <f>TRIM(CLEAN(IF(ISERROR(FIND(AF$2,Mail!$A64)),"",MID(Mail!$A64,FIND(AF$2,Mail!$A64)+LEN(AF$2)+1,IF(ISERROR(FIND("■",Mail!$A64,FIND(AF$2,Mail!$A64)+LEN(AF$2))-FIND(AF$2,Mail!$A64)-LEN(AF$2)),LEN(Mail!$A64)-60-FIND(AF$2,Mail!$A64)-LEN(AF$2),FIND("■",Mail!$A64,FIND(AF$2,Mail!$A64)+LEN(AF$2))-FIND(AF$2,Mail!$A64)-LEN(AF$2)-1)))))</f>
        <v/>
      </c>
      <c r="AG66" t="str">
        <f>TRIM(IF(ISERROR(FIND(AG$2,Mail!$A64)),"",MID(Mail!$A64,FIND(AG$2,Mail!$A64)+LEN(AG$2)+1,IF(ISERROR(FIND("■",Mail!$A64,FIND(AG$2,Mail!$A64)+LEN(AG$2))-FIND(AG$2,Mail!$A64)-LEN(AG$2)),LEN(Mail!$A64)-60-FIND(AG$2,Mail!$A64)-LEN(AG$2),FIND("■",Mail!$A64,FIND(AG$2,Mail!$A64)+LEN(AG$2))-FIND(AG$2,Mail!$A64)-LEN(AG$2)-1))))</f>
        <v/>
      </c>
      <c r="AH66" t="str">
        <f>TRIM(IF(ISERROR(FIND(AH$2,Mail!$A64)),"",MID(Mail!$A64,FIND(AH$2,Mail!$A64)+LEN(AH$2)+1,IF(ISERROR(FIND("■",Mail!$A64,FIND(AH$2,Mail!$A64)+LEN(AH$2))-FIND(AH$2,Mail!$A64)-LEN(AH$2)),LEN(Mail!$A64)-60-FIND(AH$2,Mail!$A64)-LEN(AH$2),FIND("■",Mail!$A64,FIND(AH$2,Mail!$A64)+LEN(AH$2))-FIND(AH$2,Mail!$A64)-LEN(AH$2)-1))))</f>
        <v/>
      </c>
      <c r="AI66" t="str">
        <f>TRIM(IF(ISERROR(FIND(AI$2,Mail!$A64)),"",MID(Mail!$A64,FIND(AI$2,Mail!$A64)+LEN(AI$2)+1,IF(ISERROR(FIND("■",Mail!$A64,FIND(AI$2,Mail!$A64)+LEN(AI$2))-FIND(AI$2,Mail!$A64)-LEN(AI$2)),LEN(Mail!$A64)-60-FIND(AI$2,Mail!$A64)-LEN(AI$2),FIND("■",Mail!$A64,FIND(AI$2,Mail!$A64)+LEN(AI$2))-FIND(AI$2,Mail!$A64)-LEN(AI$2)-1))))</f>
        <v/>
      </c>
    </row>
    <row r="67" spans="1:35" x14ac:dyDescent="0.15">
      <c r="A67" s="9" t="str">
        <f t="shared" si="1"/>
        <v/>
      </c>
      <c r="B67" s="8" t="str">
        <f>CLEAN(SUBSTITUTE(IF(ISERROR(FIND("yokohama",Mail!$A65)),"",MID(Mail!$A65,FIND("yokohama",Mail!$A65)+LEN("yokohama")+1,FIND("件目",Mail!$A65,FIND("yokohama",Mail!$A65))-(FIND("yokohama",Mail!$A65)+LEN("yokohama")+1)))," ",""))</f>
        <v/>
      </c>
      <c r="C67" s="2" t="str">
        <f t="shared" si="4"/>
        <v/>
      </c>
      <c r="D67" s="9" t="str">
        <f t="shared" si="2"/>
        <v/>
      </c>
      <c r="E67" s="8" t="str">
        <f t="shared" si="3"/>
        <v/>
      </c>
      <c r="F67" t="str">
        <f>TRIM(CLEAN(IF(ISERROR(FIND(F$2,Mail!$A65)),"",MID(Mail!$A65,FIND(F$2,Mail!$A65)+LEN(F$2)+1,IF(ISERROR(FIND("■",Mail!$A65,FIND(F$2,Mail!$A65)+LEN(F$2))-FIND(F$2,Mail!$A65)-LEN(F$2)),LEN(Mail!$A65)-60-FIND(F$2,Mail!$A65)-LEN(F$2),FIND("■",Mail!$A65,FIND(F$2,Mail!$A65)+LEN(F$2))-FIND(F$2,Mail!$A65)-LEN(F$2)-1)))))</f>
        <v/>
      </c>
      <c r="G67" t="str">
        <f>TRIM(CLEAN(IF(ISERROR(FIND(G$2,Mail!$A65)),"",MID(Mail!$A65,FIND(G$2,Mail!$A65)+LEN(G$2)+1,IF(ISERROR(FIND("■",Mail!$A65,FIND(G$2,Mail!$A65)+LEN(G$2))-FIND(G$2,Mail!$A65)-LEN(G$2)),LEN(Mail!$A65)-60-FIND(G$2,Mail!$A65)-LEN(G$2),FIND("■",Mail!$A65,FIND(G$2,Mail!$A65)+LEN(G$2))-FIND(G$2,Mail!$A65)-LEN(G$2)-1)))))</f>
        <v/>
      </c>
      <c r="H67" s="8" t="str">
        <f>TRIM(CLEAN(IF(ISERROR(FIND(H$2,Mail!$A65)),"",MID(Mail!$A65,FIND(H$2,Mail!$A65)+LEN(H$2)+1,IF(ISERROR(FIND("■",Mail!$A65,FIND(H$2,Mail!$A65)+LEN(H$2))-FIND(H$2,Mail!$A65)-LEN(H$2)),LEN(Mail!$A65)-60-FIND(H$2,Mail!$A65)-LEN(H$2),FIND("■",Mail!$A65,FIND(H$2,Mail!$A65)+LEN(H$2))-FIND(H$2,Mail!$A65)-LEN(H$2)-1)))))</f>
        <v/>
      </c>
      <c r="I67" t="str">
        <f>TRIM(CLEAN(IF(ISERROR(FIND(I$2,Mail!$A65)),"",MID(Mail!$A65,FIND(I$2,Mail!$A65)+LEN(I$2)+1,IF(ISERROR(FIND("■",Mail!$A65,FIND(I$2,Mail!$A65)+LEN(I$2))-FIND(I$2,Mail!$A65)-LEN(I$2)),LEN(Mail!$A65)-60-FIND(I$2,Mail!$A65)-LEN(I$2),FIND("■",Mail!$A65,FIND(I$2,Mail!$A65)+LEN(I$2))-FIND(I$2,Mail!$A65)-LEN(I$2)-1)))))</f>
        <v/>
      </c>
      <c r="J67" t="str">
        <f>TRIM(IF(ISERROR(FIND(J$2,Mail!$A65)),"",MID(Mail!$A65,FIND(J$2,Mail!$A65)+LEN(J$2)+1,IF(ISERROR(FIND("■",Mail!$A65,FIND(J$2,Mail!$A65)+LEN(J$2))-FIND(J$2,Mail!$A65)-LEN(J$2)),LEN(Mail!$A65)-60-FIND(J$2,Mail!$A65)-LEN(J$2),FIND("■",Mail!$A65,FIND(J$2,Mail!$A65)+LEN(J$2))-FIND(J$2,Mail!$A65)-LEN(J$2)-1))))</f>
        <v/>
      </c>
      <c r="K67" t="str">
        <f>TRIM(IF(ISERROR(FIND(K$2,Mail!$A65)),"",MID(Mail!$A65,FIND(K$2,Mail!$A65)+LEN(K$2)+1,IF(ISERROR(FIND("■",Mail!$A65,FIND(K$2,Mail!$A65)+LEN(K$2))-FIND(K$2,Mail!$A65)-LEN(K$2)),LEN(Mail!$A65)-60-FIND(K$2,Mail!$A65)-LEN(K$2),FIND("■",Mail!$A65,FIND(K$2,Mail!$A65)+LEN(K$2))-FIND(K$2,Mail!$A65)-LEN(K$2)-1))))</f>
        <v/>
      </c>
      <c r="L67" t="str">
        <f>TRIM(IF(ISERROR(FIND(L$2,Mail!$A65)),"",MID(Mail!$A65,FIND(L$2,Mail!$A65)+LEN(L$2)+1,IF(ISERROR(FIND("■",Mail!$A65,FIND(L$2,Mail!$A65)+LEN(L$2))-FIND(L$2,Mail!$A65)-LEN(L$2)),LEN(Mail!$A65)-60-FIND(L$2,Mail!$A65)-LEN(L$2),FIND("■",Mail!$A65,FIND(L$2,Mail!$A65)+LEN(L$2))-FIND(L$2,Mail!$A65)-LEN(L$2)-1))))</f>
        <v/>
      </c>
      <c r="M67" t="str">
        <f>TRIM(CLEAN(IF(ISERROR(FIND(M$2,Mail!$A65)),"",MID(Mail!$A65,FIND(M$2,Mail!$A65)+LEN(M$2)+1,IF(ISERROR(FIND("■",Mail!$A65,FIND(M$2,Mail!$A65)+LEN(M$2))-FIND(M$2,Mail!$A65)-LEN(M$2)),LEN(Mail!$A65)-60-FIND(M$2,Mail!$A65)-LEN(M$2),FIND("■",Mail!$A65,FIND(M$2,Mail!$A65)+LEN(M$2))-FIND(M$2,Mail!$A65)-LEN(M$2)-1)))))</f>
        <v/>
      </c>
      <c r="N67" t="str">
        <f>TRIM(CLEAN(IF(ISERROR(FIND(N$2,Mail!$A65)),"",MID(Mail!$A65,FIND(N$2,Mail!$A65)+LEN(N$2)+1,IF(ISERROR(FIND("■",Mail!$A65,FIND(N$2,Mail!$A65)+LEN(N$2))-FIND(N$2,Mail!$A65)-LEN(N$2)),LEN(Mail!$A65)-60-FIND(N$2,Mail!$A65)-LEN(N$2),FIND("■",Mail!$A65,FIND(N$2,Mail!$A65)+LEN(N$2))-FIND(N$2,Mail!$A65)-LEN(N$2)-1)))))</f>
        <v/>
      </c>
      <c r="O67" t="str">
        <f>TRIM(CLEAN(IF(ISERROR(FIND(O$2,Mail!$A65)),"",MID(Mail!$A65,FIND(O$2,Mail!$A65)+LEN(O$2)+1,IF(ISERROR(FIND("■",Mail!$A65,FIND(O$2,Mail!$A65)+LEN(O$2))-FIND(O$2,Mail!$A65)-LEN(O$2)),LEN(Mail!$A65)-60-FIND(O$2,Mail!$A65)-LEN(O$2),FIND("■",Mail!$A65,FIND(O$2,Mail!$A65)+LEN(O$2))-FIND(O$2,Mail!$A65)-LEN(O$2)-1)))))</f>
        <v/>
      </c>
      <c r="P67" t="str">
        <f>TRIM(CLEAN(IF(ISERROR(FIND(P$2,Mail!$A65)),"",MID(Mail!$A65,FIND(P$2,Mail!$A65)+LEN(P$2)+1,IF(ISERROR(FIND("■",Mail!$A65,FIND(P$2,Mail!$A65)+LEN(P$2))-FIND(P$2,Mail!$A65)-LEN(P$2)),LEN(Mail!$A65)-60-FIND(P$2,Mail!$A65)-LEN(P$2),FIND("■",Mail!$A65,FIND(P$2,Mail!$A65)+LEN(P$2))-FIND(P$2,Mail!$A65)-LEN(P$2)-1)))))</f>
        <v/>
      </c>
      <c r="Q67" t="str">
        <f>TRIM(CLEAN(IF(ISERROR(FIND(Q$2,Mail!$A65)),"",MID(Mail!$A65,FIND(Q$2,Mail!$A65)+LEN(Q$2)+1,IF(ISERROR(FIND("■",Mail!$A65,FIND(Q$2,Mail!$A65)+LEN(Q$2))-FIND(Q$2,Mail!$A65)-LEN(Q$2)),LEN(Mail!$A65)-60-FIND(Q$2,Mail!$A65)-LEN(Q$2),FIND("■",Mail!$A65,FIND(Q$2,Mail!$A65)+LEN(Q$2))-FIND(Q$2,Mail!$A65)-LEN(Q$2)-1)))))</f>
        <v/>
      </c>
      <c r="R67" s="8" t="str">
        <f>TRIM(CLEAN(IF(ISERROR(FIND(R$2,Mail!$A65)),"",MID(Mail!$A65,FIND(R$2,Mail!$A65)+LEN(R$2)+1,IF(ISERROR(FIND("■",Mail!$A65,FIND(R$2,Mail!$A65)+LEN(R$2))-FIND(R$2,Mail!$A65)-LEN(R$2)),LEN(Mail!$A65)-60-FIND(R$2,Mail!$A65)-LEN(R$2),FIND("■",Mail!$A65,FIND(R$2,Mail!$A65)+LEN(R$2))-FIND(R$2,Mail!$A65)-LEN(R$2)-1)))))</f>
        <v/>
      </c>
      <c r="S67" t="str">
        <f>TRIM(CLEAN(IF(ISERROR(FIND(S$2,Mail!$A65)),"",MID(Mail!$A65,FIND(S$2,Mail!$A65)+LEN(S$2)+1,IF(ISERROR(FIND("■",Mail!$A65,FIND(S$2,Mail!$A65)+LEN(S$2))-FIND(S$2,Mail!$A65)-LEN(S$2)),LEN(Mail!$A65)-60-FIND(S$2,Mail!$A65)-LEN(S$2),FIND("■",Mail!$A65,FIND(S$2,Mail!$A65)+LEN(S$2))-FIND(S$2,Mail!$A65)-LEN(S$2)-1)))))</f>
        <v/>
      </c>
      <c r="T67" t="str">
        <f>TRIM(CLEAN(IF(ISERROR(FIND(T$2,Mail!$A65)),"",MID(Mail!$A65,FIND(T$2,Mail!$A65)+LEN(T$2)+1,IF(ISERROR(FIND("■",Mail!$A65,FIND(T$2,Mail!$A65)+LEN(T$2))-FIND(T$2,Mail!$A65)-LEN(T$2)),LEN(Mail!$A65)-60-FIND(T$2,Mail!$A65)-LEN(T$2),FIND("■",Mail!$A65,FIND(T$2,Mail!$A65)+LEN(T$2))-FIND(T$2,Mail!$A65)-LEN(T$2)-1)))))</f>
        <v/>
      </c>
      <c r="U67" t="str">
        <f>TRIM(CLEAN(IF(ISERROR(FIND(U$2,Mail!$A65)),"",MID(Mail!$A65,FIND(U$2,Mail!$A65)+LEN(U$2)+1,IF(ISERROR(FIND("■",Mail!$A65,FIND(U$2,Mail!$A65)+LEN(U$2))-FIND(U$2,Mail!$A65)-LEN(U$2)),LEN(Mail!$A65)-60-FIND(U$2,Mail!$A65)-LEN(U$2),FIND("■",Mail!$A65,FIND(U$2,Mail!$A65)+LEN(U$2))-FIND(U$2,Mail!$A65)-LEN(U$2)-1)))))</f>
        <v/>
      </c>
      <c r="V67" t="str">
        <f>TRIM(CLEAN(IF(ISERROR(FIND(V$2,Mail!$A65)),"",MID(Mail!$A65,FIND(V$2,Mail!$A65)+LEN(V$2)+1,IF(ISERROR(FIND("■",Mail!$A65,FIND(V$2,Mail!$A65)+LEN(V$2))-FIND(V$2,Mail!$A65)-LEN(V$2)),LEN(Mail!$A65)-60-FIND(V$2,Mail!$A65)-LEN(V$2),FIND("■",Mail!$A65,FIND(V$2,Mail!$A65)+LEN(V$2))-FIND(V$2,Mail!$A65)-LEN(V$2)-1)))))</f>
        <v/>
      </c>
      <c r="W67" t="str">
        <f>TRIM(CLEAN(IF(ISERROR(FIND(W$2,Mail!$A65)),"",MID(Mail!$A65,FIND(W$2,Mail!$A65)+LEN(W$2)+1,IF(ISERROR(FIND("■",Mail!$A65,FIND(W$2,Mail!$A65)+LEN(W$2))-FIND(W$2,Mail!$A65)-LEN(W$2)),LEN(Mail!$A65)-60-FIND(W$2,Mail!$A65)-LEN(W$2),FIND("■",Mail!$A65,FIND(W$2,Mail!$A65)+LEN(W$2))-FIND(W$2,Mail!$A65)-LEN(W$2)-1)))))</f>
        <v/>
      </c>
      <c r="X67" t="str">
        <f>TRIM(IF(ISERROR(FIND(X$2,Mail!$A65)),"",MID(Mail!$A65,FIND(X$2,Mail!$A65)+LEN(X$2)+1,IF(ISERROR(FIND("■",Mail!$A65,FIND(X$2,Mail!$A65)+LEN(X$2))-FIND(X$2,Mail!$A65)-LEN(X$2)),LEN(Mail!$A65)-60-FIND(X$2,Mail!$A65)-LEN(X$2),FIND("■",Mail!$A65,FIND(X$2,Mail!$A65)+LEN(X$2))-FIND(X$2,Mail!$A65)-LEN(X$2)-1))))</f>
        <v/>
      </c>
      <c r="Y67" t="str">
        <f>TRIM(CLEAN(IF(ISERROR(FIND(Y$2,Mail!$A65)),"",MID(Mail!$A65,FIND(Y$2,Mail!$A65)+LEN(Y$2)+1,IF(ISERROR(FIND("■",Mail!$A65,FIND(Y$2,Mail!$A65)+LEN(Y$2))-FIND(Y$2,Mail!$A65)-LEN(Y$2)),LEN(Mail!$A65)-60-FIND(Y$2,Mail!$A65)-LEN(Y$2),FIND("■",Mail!$A65,FIND(Y$2,Mail!$A65)+LEN(Y$2))-FIND(Y$2,Mail!$A65)-LEN(Y$2)-1)))))</f>
        <v/>
      </c>
      <c r="Z67" t="str">
        <f>TRIM(CLEAN(IF(ISERROR(FIND(Z$2,Mail!$A65)),"",MID(Mail!$A65,FIND(Z$2,Mail!$A65)+LEN(Z$2)+1,IF(ISERROR(FIND("■",Mail!$A65,FIND(Z$2,Mail!$A65)+LEN(Z$2))-FIND(Z$2,Mail!$A65)-LEN(Z$2)),LEN(Mail!$A65)-60-FIND(Z$2,Mail!$A65)-LEN(Z$2),FIND("■",Mail!$A65,FIND(Z$2,Mail!$A65)+LEN(Z$2))-FIND(Z$2,Mail!$A65)-LEN(Z$2)-1)))))</f>
        <v/>
      </c>
      <c r="AA67" t="str">
        <f>TRIM(CLEAN(IF(ISERROR(FIND(AA$2,Mail!$A65)),"",MID(Mail!$A65,FIND(AA$2,Mail!$A65)+LEN(AA$2)+1,IF(ISERROR(FIND("■",Mail!$A65,FIND(AA$2,Mail!$A65)+LEN(AA$2))-FIND(AA$2,Mail!$A65)-LEN(AA$2)),LEN(Mail!$A65)-60-FIND(AA$2,Mail!$A65)-LEN(AA$2),FIND("■",Mail!$A65,FIND(AA$2,Mail!$A65)+LEN(AA$2))-FIND(AA$2,Mail!$A65)-LEN(AA$2)-1)))))</f>
        <v/>
      </c>
      <c r="AB67" t="str">
        <f>TRIM(CLEAN(IF(ISERROR(FIND(AB$2,Mail!$A65)),"",MID(Mail!$A65,FIND(AB$2,Mail!$A65)+LEN(AB$2)+1,IF(ISERROR(FIND("■",Mail!$A65,FIND(AB$2,Mail!$A65)+LEN(AB$2))-FIND(AB$2,Mail!$A65)-LEN(AB$2)),LEN(Mail!$A65)-60-FIND(AB$2,Mail!$A65)-LEN(AB$2),FIND("■",Mail!$A65,FIND(AB$2,Mail!$A65)+LEN(AB$2))-FIND(AB$2,Mail!$A65)-LEN(AB$2)-1)))))</f>
        <v/>
      </c>
      <c r="AC67" s="8" t="str">
        <f>TRIM(CLEAN(IF(ISERROR(FIND(AC$2,Mail!$A65)),"",MID(Mail!$A65,FIND(AC$2,Mail!$A65)+LEN(AC$2)+1,IF(ISERROR(FIND("■",Mail!$A65,FIND(AC$2,Mail!$A65)+LEN(AC$2))-FIND(AC$2,Mail!$A65)-LEN(AC$2)),LEN(Mail!$A65)-60-FIND(AC$2,Mail!$A65)-LEN(AC$2),FIND("■",Mail!$A65,FIND(AC$2,Mail!$A65)+LEN(AC$2))-FIND(AC$2,Mail!$A65)-LEN(AC$2)-1)))))</f>
        <v/>
      </c>
      <c r="AD67" t="str">
        <f>TRIM(CLEAN(IF(ISERROR(FIND(AD$2,Mail!$A65)),"",MID(Mail!$A65,FIND(AD$2,Mail!$A65)+LEN(AD$2)+1,IF(ISERROR(FIND("■",Mail!$A65,FIND(AD$2,Mail!$A65)+LEN(AD$2))-FIND(AD$2,Mail!$A65)-LEN(AD$2)),LEN(Mail!$A65)-60-FIND(AD$2,Mail!$A65)-LEN(AD$2),FIND("■",Mail!$A65,FIND(AD$2,Mail!$A65)+LEN(AD$2))-FIND(AD$2,Mail!$A65)-LEN(AD$2)-1)))))</f>
        <v/>
      </c>
      <c r="AE67" t="str">
        <f>TRIM(CLEAN(IF(ISERROR(FIND(AE$2,Mail!$A65)),"",MID(Mail!$A65,FIND(AE$2,Mail!$A65)+LEN(AE$2)+1,IF(ISERROR(FIND("■",Mail!$A65,FIND(AE$2,Mail!$A65)+LEN(AE$2))-FIND(AE$2,Mail!$A65)-LEN(AE$2)),LEN(Mail!$A65)-60-FIND(AE$2,Mail!$A65)-LEN(AE$2),FIND("■",Mail!$A65,FIND(AE$2,Mail!$A65)+LEN(AE$2))-FIND(AE$2,Mail!$A65)-LEN(AE$2)-1)))))</f>
        <v/>
      </c>
      <c r="AF67" t="str">
        <f>TRIM(CLEAN(IF(ISERROR(FIND(AF$2,Mail!$A65)),"",MID(Mail!$A65,FIND(AF$2,Mail!$A65)+LEN(AF$2)+1,IF(ISERROR(FIND("■",Mail!$A65,FIND(AF$2,Mail!$A65)+LEN(AF$2))-FIND(AF$2,Mail!$A65)-LEN(AF$2)),LEN(Mail!$A65)-60-FIND(AF$2,Mail!$A65)-LEN(AF$2),FIND("■",Mail!$A65,FIND(AF$2,Mail!$A65)+LEN(AF$2))-FIND(AF$2,Mail!$A65)-LEN(AF$2)-1)))))</f>
        <v/>
      </c>
      <c r="AG67" t="str">
        <f>TRIM(IF(ISERROR(FIND(AG$2,Mail!$A65)),"",MID(Mail!$A65,FIND(AG$2,Mail!$A65)+LEN(AG$2)+1,IF(ISERROR(FIND("■",Mail!$A65,FIND(AG$2,Mail!$A65)+LEN(AG$2))-FIND(AG$2,Mail!$A65)-LEN(AG$2)),LEN(Mail!$A65)-60-FIND(AG$2,Mail!$A65)-LEN(AG$2),FIND("■",Mail!$A65,FIND(AG$2,Mail!$A65)+LEN(AG$2))-FIND(AG$2,Mail!$A65)-LEN(AG$2)-1))))</f>
        <v/>
      </c>
      <c r="AH67" t="str">
        <f>TRIM(IF(ISERROR(FIND(AH$2,Mail!$A65)),"",MID(Mail!$A65,FIND(AH$2,Mail!$A65)+LEN(AH$2)+1,IF(ISERROR(FIND("■",Mail!$A65,FIND(AH$2,Mail!$A65)+LEN(AH$2))-FIND(AH$2,Mail!$A65)-LEN(AH$2)),LEN(Mail!$A65)-60-FIND(AH$2,Mail!$A65)-LEN(AH$2),FIND("■",Mail!$A65,FIND(AH$2,Mail!$A65)+LEN(AH$2))-FIND(AH$2,Mail!$A65)-LEN(AH$2)-1))))</f>
        <v/>
      </c>
      <c r="AI67" t="str">
        <f>TRIM(IF(ISERROR(FIND(AI$2,Mail!$A65)),"",MID(Mail!$A65,FIND(AI$2,Mail!$A65)+LEN(AI$2)+1,IF(ISERROR(FIND("■",Mail!$A65,FIND(AI$2,Mail!$A65)+LEN(AI$2))-FIND(AI$2,Mail!$A65)-LEN(AI$2)),LEN(Mail!$A65)-60-FIND(AI$2,Mail!$A65)-LEN(AI$2),FIND("■",Mail!$A65,FIND(AI$2,Mail!$A65)+LEN(AI$2))-FIND(AI$2,Mail!$A65)-LEN(AI$2)-1))))</f>
        <v/>
      </c>
    </row>
    <row r="68" spans="1:35" x14ac:dyDescent="0.15">
      <c r="A68" s="9" t="str">
        <f t="shared" si="1"/>
        <v/>
      </c>
      <c r="B68" s="8" t="str">
        <f>CLEAN(SUBSTITUTE(IF(ISERROR(FIND("yokohama",Mail!$A66)),"",MID(Mail!$A66,FIND("yokohama",Mail!$A66)+LEN("yokohama")+1,FIND("件目",Mail!$A66,FIND("yokohama",Mail!$A66))-(FIND("yokohama",Mail!$A66)+LEN("yokohama")+1)))," ",""))</f>
        <v/>
      </c>
      <c r="C68" s="2" t="str">
        <f t="shared" ref="C68:C99" si="5">IF($A68="","",IF($S68="住所と同じ",$O68,$T68))</f>
        <v/>
      </c>
      <c r="D68" s="9" t="str">
        <f t="shared" si="2"/>
        <v/>
      </c>
      <c r="E68" s="8" t="str">
        <f t="shared" si="3"/>
        <v/>
      </c>
      <c r="F68" t="str">
        <f>TRIM(CLEAN(IF(ISERROR(FIND(F$2,Mail!$A66)),"",MID(Mail!$A66,FIND(F$2,Mail!$A66)+LEN(F$2)+1,IF(ISERROR(FIND("■",Mail!$A66,FIND(F$2,Mail!$A66)+LEN(F$2))-FIND(F$2,Mail!$A66)-LEN(F$2)),LEN(Mail!$A66)-60-FIND(F$2,Mail!$A66)-LEN(F$2),FIND("■",Mail!$A66,FIND(F$2,Mail!$A66)+LEN(F$2))-FIND(F$2,Mail!$A66)-LEN(F$2)-1)))))</f>
        <v/>
      </c>
      <c r="G68" t="str">
        <f>TRIM(CLEAN(IF(ISERROR(FIND(G$2,Mail!$A66)),"",MID(Mail!$A66,FIND(G$2,Mail!$A66)+LEN(G$2)+1,IF(ISERROR(FIND("■",Mail!$A66,FIND(G$2,Mail!$A66)+LEN(G$2))-FIND(G$2,Mail!$A66)-LEN(G$2)),LEN(Mail!$A66)-60-FIND(G$2,Mail!$A66)-LEN(G$2),FIND("■",Mail!$A66,FIND(G$2,Mail!$A66)+LEN(G$2))-FIND(G$2,Mail!$A66)-LEN(G$2)-1)))))</f>
        <v/>
      </c>
      <c r="H68" s="8" t="str">
        <f>TRIM(CLEAN(IF(ISERROR(FIND(H$2,Mail!$A66)),"",MID(Mail!$A66,FIND(H$2,Mail!$A66)+LEN(H$2)+1,IF(ISERROR(FIND("■",Mail!$A66,FIND(H$2,Mail!$A66)+LEN(H$2))-FIND(H$2,Mail!$A66)-LEN(H$2)),LEN(Mail!$A66)-60-FIND(H$2,Mail!$A66)-LEN(H$2),FIND("■",Mail!$A66,FIND(H$2,Mail!$A66)+LEN(H$2))-FIND(H$2,Mail!$A66)-LEN(H$2)-1)))))</f>
        <v/>
      </c>
      <c r="I68" t="str">
        <f>TRIM(CLEAN(IF(ISERROR(FIND(I$2,Mail!$A66)),"",MID(Mail!$A66,FIND(I$2,Mail!$A66)+LEN(I$2)+1,IF(ISERROR(FIND("■",Mail!$A66,FIND(I$2,Mail!$A66)+LEN(I$2))-FIND(I$2,Mail!$A66)-LEN(I$2)),LEN(Mail!$A66)-60-FIND(I$2,Mail!$A66)-LEN(I$2),FIND("■",Mail!$A66,FIND(I$2,Mail!$A66)+LEN(I$2))-FIND(I$2,Mail!$A66)-LEN(I$2)-1)))))</f>
        <v/>
      </c>
      <c r="J68" t="str">
        <f>TRIM(IF(ISERROR(FIND(J$2,Mail!$A66)),"",MID(Mail!$A66,FIND(J$2,Mail!$A66)+LEN(J$2)+1,IF(ISERROR(FIND("■",Mail!$A66,FIND(J$2,Mail!$A66)+LEN(J$2))-FIND(J$2,Mail!$A66)-LEN(J$2)),LEN(Mail!$A66)-60-FIND(J$2,Mail!$A66)-LEN(J$2),FIND("■",Mail!$A66,FIND(J$2,Mail!$A66)+LEN(J$2))-FIND(J$2,Mail!$A66)-LEN(J$2)-1))))</f>
        <v/>
      </c>
      <c r="K68" t="str">
        <f>TRIM(IF(ISERROR(FIND(K$2,Mail!$A66)),"",MID(Mail!$A66,FIND(K$2,Mail!$A66)+LEN(K$2)+1,IF(ISERROR(FIND("■",Mail!$A66,FIND(K$2,Mail!$A66)+LEN(K$2))-FIND(K$2,Mail!$A66)-LEN(K$2)),LEN(Mail!$A66)-60-FIND(K$2,Mail!$A66)-LEN(K$2),FIND("■",Mail!$A66,FIND(K$2,Mail!$A66)+LEN(K$2))-FIND(K$2,Mail!$A66)-LEN(K$2)-1))))</f>
        <v/>
      </c>
      <c r="L68" t="str">
        <f>TRIM(IF(ISERROR(FIND(L$2,Mail!$A66)),"",MID(Mail!$A66,FIND(L$2,Mail!$A66)+LEN(L$2)+1,IF(ISERROR(FIND("■",Mail!$A66,FIND(L$2,Mail!$A66)+LEN(L$2))-FIND(L$2,Mail!$A66)-LEN(L$2)),LEN(Mail!$A66)-60-FIND(L$2,Mail!$A66)-LEN(L$2),FIND("■",Mail!$A66,FIND(L$2,Mail!$A66)+LEN(L$2))-FIND(L$2,Mail!$A66)-LEN(L$2)-1))))</f>
        <v/>
      </c>
      <c r="M68" t="str">
        <f>TRIM(CLEAN(IF(ISERROR(FIND(M$2,Mail!$A66)),"",MID(Mail!$A66,FIND(M$2,Mail!$A66)+LEN(M$2)+1,IF(ISERROR(FIND("■",Mail!$A66,FIND(M$2,Mail!$A66)+LEN(M$2))-FIND(M$2,Mail!$A66)-LEN(M$2)),LEN(Mail!$A66)-60-FIND(M$2,Mail!$A66)-LEN(M$2),FIND("■",Mail!$A66,FIND(M$2,Mail!$A66)+LEN(M$2))-FIND(M$2,Mail!$A66)-LEN(M$2)-1)))))</f>
        <v/>
      </c>
      <c r="N68" t="str">
        <f>TRIM(CLEAN(IF(ISERROR(FIND(N$2,Mail!$A66)),"",MID(Mail!$A66,FIND(N$2,Mail!$A66)+LEN(N$2)+1,IF(ISERROR(FIND("■",Mail!$A66,FIND(N$2,Mail!$A66)+LEN(N$2))-FIND(N$2,Mail!$A66)-LEN(N$2)),LEN(Mail!$A66)-60-FIND(N$2,Mail!$A66)-LEN(N$2),FIND("■",Mail!$A66,FIND(N$2,Mail!$A66)+LEN(N$2))-FIND(N$2,Mail!$A66)-LEN(N$2)-1)))))</f>
        <v/>
      </c>
      <c r="O68" t="str">
        <f>TRIM(CLEAN(IF(ISERROR(FIND(O$2,Mail!$A66)),"",MID(Mail!$A66,FIND(O$2,Mail!$A66)+LEN(O$2)+1,IF(ISERROR(FIND("■",Mail!$A66,FIND(O$2,Mail!$A66)+LEN(O$2))-FIND(O$2,Mail!$A66)-LEN(O$2)),LEN(Mail!$A66)-60-FIND(O$2,Mail!$A66)-LEN(O$2),FIND("■",Mail!$A66,FIND(O$2,Mail!$A66)+LEN(O$2))-FIND(O$2,Mail!$A66)-LEN(O$2)-1)))))</f>
        <v/>
      </c>
      <c r="P68" t="str">
        <f>TRIM(CLEAN(IF(ISERROR(FIND(P$2,Mail!$A66)),"",MID(Mail!$A66,FIND(P$2,Mail!$A66)+LEN(P$2)+1,IF(ISERROR(FIND("■",Mail!$A66,FIND(P$2,Mail!$A66)+LEN(P$2))-FIND(P$2,Mail!$A66)-LEN(P$2)),LEN(Mail!$A66)-60-FIND(P$2,Mail!$A66)-LEN(P$2),FIND("■",Mail!$A66,FIND(P$2,Mail!$A66)+LEN(P$2))-FIND(P$2,Mail!$A66)-LEN(P$2)-1)))))</f>
        <v/>
      </c>
      <c r="Q68" t="str">
        <f>TRIM(CLEAN(IF(ISERROR(FIND(Q$2,Mail!$A66)),"",MID(Mail!$A66,FIND(Q$2,Mail!$A66)+LEN(Q$2)+1,IF(ISERROR(FIND("■",Mail!$A66,FIND(Q$2,Mail!$A66)+LEN(Q$2))-FIND(Q$2,Mail!$A66)-LEN(Q$2)),LEN(Mail!$A66)-60-FIND(Q$2,Mail!$A66)-LEN(Q$2),FIND("■",Mail!$A66,FIND(Q$2,Mail!$A66)+LEN(Q$2))-FIND(Q$2,Mail!$A66)-LEN(Q$2)-1)))))</f>
        <v/>
      </c>
      <c r="R68" s="8" t="str">
        <f>TRIM(CLEAN(IF(ISERROR(FIND(R$2,Mail!$A66)),"",MID(Mail!$A66,FIND(R$2,Mail!$A66)+LEN(R$2)+1,IF(ISERROR(FIND("■",Mail!$A66,FIND(R$2,Mail!$A66)+LEN(R$2))-FIND(R$2,Mail!$A66)-LEN(R$2)),LEN(Mail!$A66)-60-FIND(R$2,Mail!$A66)-LEN(R$2),FIND("■",Mail!$A66,FIND(R$2,Mail!$A66)+LEN(R$2))-FIND(R$2,Mail!$A66)-LEN(R$2)-1)))))</f>
        <v/>
      </c>
      <c r="S68" t="str">
        <f>TRIM(CLEAN(IF(ISERROR(FIND(S$2,Mail!$A66)),"",MID(Mail!$A66,FIND(S$2,Mail!$A66)+LEN(S$2)+1,IF(ISERROR(FIND("■",Mail!$A66,FIND(S$2,Mail!$A66)+LEN(S$2))-FIND(S$2,Mail!$A66)-LEN(S$2)),LEN(Mail!$A66)-60-FIND(S$2,Mail!$A66)-LEN(S$2),FIND("■",Mail!$A66,FIND(S$2,Mail!$A66)+LEN(S$2))-FIND(S$2,Mail!$A66)-LEN(S$2)-1)))))</f>
        <v/>
      </c>
      <c r="T68" t="str">
        <f>TRIM(CLEAN(IF(ISERROR(FIND(T$2,Mail!$A66)),"",MID(Mail!$A66,FIND(T$2,Mail!$A66)+LEN(T$2)+1,IF(ISERROR(FIND("■",Mail!$A66,FIND(T$2,Mail!$A66)+LEN(T$2))-FIND(T$2,Mail!$A66)-LEN(T$2)),LEN(Mail!$A66)-60-FIND(T$2,Mail!$A66)-LEN(T$2),FIND("■",Mail!$A66,FIND(T$2,Mail!$A66)+LEN(T$2))-FIND(T$2,Mail!$A66)-LEN(T$2)-1)))))</f>
        <v/>
      </c>
      <c r="U68" t="str">
        <f>TRIM(CLEAN(IF(ISERROR(FIND(U$2,Mail!$A66)),"",MID(Mail!$A66,FIND(U$2,Mail!$A66)+LEN(U$2)+1,IF(ISERROR(FIND("■",Mail!$A66,FIND(U$2,Mail!$A66)+LEN(U$2))-FIND(U$2,Mail!$A66)-LEN(U$2)),LEN(Mail!$A66)-60-FIND(U$2,Mail!$A66)-LEN(U$2),FIND("■",Mail!$A66,FIND(U$2,Mail!$A66)+LEN(U$2))-FIND(U$2,Mail!$A66)-LEN(U$2)-1)))))</f>
        <v/>
      </c>
      <c r="V68" t="str">
        <f>TRIM(CLEAN(IF(ISERROR(FIND(V$2,Mail!$A66)),"",MID(Mail!$A66,FIND(V$2,Mail!$A66)+LEN(V$2)+1,IF(ISERROR(FIND("■",Mail!$A66,FIND(V$2,Mail!$A66)+LEN(V$2))-FIND(V$2,Mail!$A66)-LEN(V$2)),LEN(Mail!$A66)-60-FIND(V$2,Mail!$A66)-LEN(V$2),FIND("■",Mail!$A66,FIND(V$2,Mail!$A66)+LEN(V$2))-FIND(V$2,Mail!$A66)-LEN(V$2)-1)))))</f>
        <v/>
      </c>
      <c r="W68" t="str">
        <f>TRIM(CLEAN(IF(ISERROR(FIND(W$2,Mail!$A66)),"",MID(Mail!$A66,FIND(W$2,Mail!$A66)+LEN(W$2)+1,IF(ISERROR(FIND("■",Mail!$A66,FIND(W$2,Mail!$A66)+LEN(W$2))-FIND(W$2,Mail!$A66)-LEN(W$2)),LEN(Mail!$A66)-60-FIND(W$2,Mail!$A66)-LEN(W$2),FIND("■",Mail!$A66,FIND(W$2,Mail!$A66)+LEN(W$2))-FIND(W$2,Mail!$A66)-LEN(W$2)-1)))))</f>
        <v/>
      </c>
      <c r="X68" t="str">
        <f>TRIM(IF(ISERROR(FIND(X$2,Mail!$A66)),"",MID(Mail!$A66,FIND(X$2,Mail!$A66)+LEN(X$2)+1,IF(ISERROR(FIND("■",Mail!$A66,FIND(X$2,Mail!$A66)+LEN(X$2))-FIND(X$2,Mail!$A66)-LEN(X$2)),LEN(Mail!$A66)-60-FIND(X$2,Mail!$A66)-LEN(X$2),FIND("■",Mail!$A66,FIND(X$2,Mail!$A66)+LEN(X$2))-FIND(X$2,Mail!$A66)-LEN(X$2)-1))))</f>
        <v/>
      </c>
      <c r="Y68" t="str">
        <f>TRIM(CLEAN(IF(ISERROR(FIND(Y$2,Mail!$A66)),"",MID(Mail!$A66,FIND(Y$2,Mail!$A66)+LEN(Y$2)+1,IF(ISERROR(FIND("■",Mail!$A66,FIND(Y$2,Mail!$A66)+LEN(Y$2))-FIND(Y$2,Mail!$A66)-LEN(Y$2)),LEN(Mail!$A66)-60-FIND(Y$2,Mail!$A66)-LEN(Y$2),FIND("■",Mail!$A66,FIND(Y$2,Mail!$A66)+LEN(Y$2))-FIND(Y$2,Mail!$A66)-LEN(Y$2)-1)))))</f>
        <v/>
      </c>
      <c r="Z68" t="str">
        <f>TRIM(CLEAN(IF(ISERROR(FIND(Z$2,Mail!$A66)),"",MID(Mail!$A66,FIND(Z$2,Mail!$A66)+LEN(Z$2)+1,IF(ISERROR(FIND("■",Mail!$A66,FIND(Z$2,Mail!$A66)+LEN(Z$2))-FIND(Z$2,Mail!$A66)-LEN(Z$2)),LEN(Mail!$A66)-60-FIND(Z$2,Mail!$A66)-LEN(Z$2),FIND("■",Mail!$A66,FIND(Z$2,Mail!$A66)+LEN(Z$2))-FIND(Z$2,Mail!$A66)-LEN(Z$2)-1)))))</f>
        <v/>
      </c>
      <c r="AA68" t="str">
        <f>TRIM(CLEAN(IF(ISERROR(FIND(AA$2,Mail!$A66)),"",MID(Mail!$A66,FIND(AA$2,Mail!$A66)+LEN(AA$2)+1,IF(ISERROR(FIND("■",Mail!$A66,FIND(AA$2,Mail!$A66)+LEN(AA$2))-FIND(AA$2,Mail!$A66)-LEN(AA$2)),LEN(Mail!$A66)-60-FIND(AA$2,Mail!$A66)-LEN(AA$2),FIND("■",Mail!$A66,FIND(AA$2,Mail!$A66)+LEN(AA$2))-FIND(AA$2,Mail!$A66)-LEN(AA$2)-1)))))</f>
        <v/>
      </c>
      <c r="AB68" t="str">
        <f>TRIM(CLEAN(IF(ISERROR(FIND(AB$2,Mail!$A66)),"",MID(Mail!$A66,FIND(AB$2,Mail!$A66)+LEN(AB$2)+1,IF(ISERROR(FIND("■",Mail!$A66,FIND(AB$2,Mail!$A66)+LEN(AB$2))-FIND(AB$2,Mail!$A66)-LEN(AB$2)),LEN(Mail!$A66)-60-FIND(AB$2,Mail!$A66)-LEN(AB$2),FIND("■",Mail!$A66,FIND(AB$2,Mail!$A66)+LEN(AB$2))-FIND(AB$2,Mail!$A66)-LEN(AB$2)-1)))))</f>
        <v/>
      </c>
      <c r="AC68" s="8" t="str">
        <f>TRIM(CLEAN(IF(ISERROR(FIND(AC$2,Mail!$A66)),"",MID(Mail!$A66,FIND(AC$2,Mail!$A66)+LEN(AC$2)+1,IF(ISERROR(FIND("■",Mail!$A66,FIND(AC$2,Mail!$A66)+LEN(AC$2))-FIND(AC$2,Mail!$A66)-LEN(AC$2)),LEN(Mail!$A66)-60-FIND(AC$2,Mail!$A66)-LEN(AC$2),FIND("■",Mail!$A66,FIND(AC$2,Mail!$A66)+LEN(AC$2))-FIND(AC$2,Mail!$A66)-LEN(AC$2)-1)))))</f>
        <v/>
      </c>
      <c r="AD68" t="str">
        <f>TRIM(CLEAN(IF(ISERROR(FIND(AD$2,Mail!$A66)),"",MID(Mail!$A66,FIND(AD$2,Mail!$A66)+LEN(AD$2)+1,IF(ISERROR(FIND("■",Mail!$A66,FIND(AD$2,Mail!$A66)+LEN(AD$2))-FIND(AD$2,Mail!$A66)-LEN(AD$2)),LEN(Mail!$A66)-60-FIND(AD$2,Mail!$A66)-LEN(AD$2),FIND("■",Mail!$A66,FIND(AD$2,Mail!$A66)+LEN(AD$2))-FIND(AD$2,Mail!$A66)-LEN(AD$2)-1)))))</f>
        <v/>
      </c>
      <c r="AE68" t="str">
        <f>TRIM(CLEAN(IF(ISERROR(FIND(AE$2,Mail!$A66)),"",MID(Mail!$A66,FIND(AE$2,Mail!$A66)+LEN(AE$2)+1,IF(ISERROR(FIND("■",Mail!$A66,FIND(AE$2,Mail!$A66)+LEN(AE$2))-FIND(AE$2,Mail!$A66)-LEN(AE$2)),LEN(Mail!$A66)-60-FIND(AE$2,Mail!$A66)-LEN(AE$2),FIND("■",Mail!$A66,FIND(AE$2,Mail!$A66)+LEN(AE$2))-FIND(AE$2,Mail!$A66)-LEN(AE$2)-1)))))</f>
        <v/>
      </c>
      <c r="AF68" t="str">
        <f>TRIM(CLEAN(IF(ISERROR(FIND(AF$2,Mail!$A66)),"",MID(Mail!$A66,FIND(AF$2,Mail!$A66)+LEN(AF$2)+1,IF(ISERROR(FIND("■",Mail!$A66,FIND(AF$2,Mail!$A66)+LEN(AF$2))-FIND(AF$2,Mail!$A66)-LEN(AF$2)),LEN(Mail!$A66)-60-FIND(AF$2,Mail!$A66)-LEN(AF$2),FIND("■",Mail!$A66,FIND(AF$2,Mail!$A66)+LEN(AF$2))-FIND(AF$2,Mail!$A66)-LEN(AF$2)-1)))))</f>
        <v/>
      </c>
      <c r="AG68" t="str">
        <f>TRIM(IF(ISERROR(FIND(AG$2,Mail!$A66)),"",MID(Mail!$A66,FIND(AG$2,Mail!$A66)+LEN(AG$2)+1,IF(ISERROR(FIND("■",Mail!$A66,FIND(AG$2,Mail!$A66)+LEN(AG$2))-FIND(AG$2,Mail!$A66)-LEN(AG$2)),LEN(Mail!$A66)-60-FIND(AG$2,Mail!$A66)-LEN(AG$2),FIND("■",Mail!$A66,FIND(AG$2,Mail!$A66)+LEN(AG$2))-FIND(AG$2,Mail!$A66)-LEN(AG$2)-1))))</f>
        <v/>
      </c>
      <c r="AH68" t="str">
        <f>TRIM(IF(ISERROR(FIND(AH$2,Mail!$A66)),"",MID(Mail!$A66,FIND(AH$2,Mail!$A66)+LEN(AH$2)+1,IF(ISERROR(FIND("■",Mail!$A66,FIND(AH$2,Mail!$A66)+LEN(AH$2))-FIND(AH$2,Mail!$A66)-LEN(AH$2)),LEN(Mail!$A66)-60-FIND(AH$2,Mail!$A66)-LEN(AH$2),FIND("■",Mail!$A66,FIND(AH$2,Mail!$A66)+LEN(AH$2))-FIND(AH$2,Mail!$A66)-LEN(AH$2)-1))))</f>
        <v/>
      </c>
      <c r="AI68" t="str">
        <f>TRIM(IF(ISERROR(FIND(AI$2,Mail!$A66)),"",MID(Mail!$A66,FIND(AI$2,Mail!$A66)+LEN(AI$2)+1,IF(ISERROR(FIND("■",Mail!$A66,FIND(AI$2,Mail!$A66)+LEN(AI$2))-FIND(AI$2,Mail!$A66)-LEN(AI$2)),LEN(Mail!$A66)-60-FIND(AI$2,Mail!$A66)-LEN(AI$2),FIND("■",Mail!$A66,FIND(AI$2,Mail!$A66)+LEN(AI$2))-FIND(AI$2,Mail!$A66)-LEN(AI$2)-1))))</f>
        <v/>
      </c>
    </row>
    <row r="69" spans="1:35" x14ac:dyDescent="0.15">
      <c r="A69" s="9" t="str">
        <f t="shared" ref="A69:A111" si="6">TEXT($B69,"0000")</f>
        <v/>
      </c>
      <c r="B69" s="8" t="str">
        <f>CLEAN(SUBSTITUTE(IF(ISERROR(FIND("yokohama",Mail!$A67)),"",MID(Mail!$A67,FIND("yokohama",Mail!$A67)+LEN("yokohama")+1,FIND("件目",Mail!$A67,FIND("yokohama",Mail!$A67))-(FIND("yokohama",Mail!$A67)+LEN("yokohama")+1)))," ",""))</f>
        <v/>
      </c>
      <c r="C69" s="2" t="str">
        <f t="shared" si="5"/>
        <v/>
      </c>
      <c r="D69" s="9" t="str">
        <f t="shared" ref="D69:D111" si="7">IF($A69="","",$G69&amp;"("&amp;IF($H69="",$I69,$H69)&amp;")")</f>
        <v/>
      </c>
      <c r="E69" s="8" t="str">
        <f t="shared" ref="E69:E111" si="8">IF($S69="住所と同じ",$P69&amp;$Q69&amp;IF($R69="",""," "&amp;R69),$U69&amp;$V69)</f>
        <v/>
      </c>
      <c r="F69" t="str">
        <f>TRIM(CLEAN(IF(ISERROR(FIND(F$2,Mail!$A67)),"",MID(Mail!$A67,FIND(F$2,Mail!$A67)+LEN(F$2)+1,IF(ISERROR(FIND("■",Mail!$A67,FIND(F$2,Mail!$A67)+LEN(F$2))-FIND(F$2,Mail!$A67)-LEN(F$2)),LEN(Mail!$A67)-60-FIND(F$2,Mail!$A67)-LEN(F$2),FIND("■",Mail!$A67,FIND(F$2,Mail!$A67)+LEN(F$2))-FIND(F$2,Mail!$A67)-LEN(F$2)-1)))))</f>
        <v/>
      </c>
      <c r="G69" t="str">
        <f>TRIM(CLEAN(IF(ISERROR(FIND(G$2,Mail!$A67)),"",MID(Mail!$A67,FIND(G$2,Mail!$A67)+LEN(G$2)+1,IF(ISERROR(FIND("■",Mail!$A67,FIND(G$2,Mail!$A67)+LEN(G$2))-FIND(G$2,Mail!$A67)-LEN(G$2)),LEN(Mail!$A67)-60-FIND(G$2,Mail!$A67)-LEN(G$2),FIND("■",Mail!$A67,FIND(G$2,Mail!$A67)+LEN(G$2))-FIND(G$2,Mail!$A67)-LEN(G$2)-1)))))</f>
        <v/>
      </c>
      <c r="H69" s="8" t="str">
        <f>TRIM(CLEAN(IF(ISERROR(FIND(H$2,Mail!$A67)),"",MID(Mail!$A67,FIND(H$2,Mail!$A67)+LEN(H$2)+1,IF(ISERROR(FIND("■",Mail!$A67,FIND(H$2,Mail!$A67)+LEN(H$2))-FIND(H$2,Mail!$A67)-LEN(H$2)),LEN(Mail!$A67)-60-FIND(H$2,Mail!$A67)-LEN(H$2),FIND("■",Mail!$A67,FIND(H$2,Mail!$A67)+LEN(H$2))-FIND(H$2,Mail!$A67)-LEN(H$2)-1)))))</f>
        <v/>
      </c>
      <c r="I69" t="str">
        <f>TRIM(CLEAN(IF(ISERROR(FIND(I$2,Mail!$A67)),"",MID(Mail!$A67,FIND(I$2,Mail!$A67)+LEN(I$2)+1,IF(ISERROR(FIND("■",Mail!$A67,FIND(I$2,Mail!$A67)+LEN(I$2))-FIND(I$2,Mail!$A67)-LEN(I$2)),LEN(Mail!$A67)-60-FIND(I$2,Mail!$A67)-LEN(I$2),FIND("■",Mail!$A67,FIND(I$2,Mail!$A67)+LEN(I$2))-FIND(I$2,Mail!$A67)-LEN(I$2)-1)))))</f>
        <v/>
      </c>
      <c r="J69" t="str">
        <f>TRIM(IF(ISERROR(FIND(J$2,Mail!$A67)),"",MID(Mail!$A67,FIND(J$2,Mail!$A67)+LEN(J$2)+1,IF(ISERROR(FIND("■",Mail!$A67,FIND(J$2,Mail!$A67)+LEN(J$2))-FIND(J$2,Mail!$A67)-LEN(J$2)),LEN(Mail!$A67)-60-FIND(J$2,Mail!$A67)-LEN(J$2),FIND("■",Mail!$A67,FIND(J$2,Mail!$A67)+LEN(J$2))-FIND(J$2,Mail!$A67)-LEN(J$2)-1))))</f>
        <v/>
      </c>
      <c r="K69" t="str">
        <f>TRIM(IF(ISERROR(FIND(K$2,Mail!$A67)),"",MID(Mail!$A67,FIND(K$2,Mail!$A67)+LEN(K$2)+1,IF(ISERROR(FIND("■",Mail!$A67,FIND(K$2,Mail!$A67)+LEN(K$2))-FIND(K$2,Mail!$A67)-LEN(K$2)),LEN(Mail!$A67)-60-FIND(K$2,Mail!$A67)-LEN(K$2),FIND("■",Mail!$A67,FIND(K$2,Mail!$A67)+LEN(K$2))-FIND(K$2,Mail!$A67)-LEN(K$2)-1))))</f>
        <v/>
      </c>
      <c r="L69" t="str">
        <f>TRIM(IF(ISERROR(FIND(L$2,Mail!$A67)),"",MID(Mail!$A67,FIND(L$2,Mail!$A67)+LEN(L$2)+1,IF(ISERROR(FIND("■",Mail!$A67,FIND(L$2,Mail!$A67)+LEN(L$2))-FIND(L$2,Mail!$A67)-LEN(L$2)),LEN(Mail!$A67)-60-FIND(L$2,Mail!$A67)-LEN(L$2),FIND("■",Mail!$A67,FIND(L$2,Mail!$A67)+LEN(L$2))-FIND(L$2,Mail!$A67)-LEN(L$2)-1))))</f>
        <v/>
      </c>
      <c r="M69" t="str">
        <f>TRIM(CLEAN(IF(ISERROR(FIND(M$2,Mail!$A67)),"",MID(Mail!$A67,FIND(M$2,Mail!$A67)+LEN(M$2)+1,IF(ISERROR(FIND("■",Mail!$A67,FIND(M$2,Mail!$A67)+LEN(M$2))-FIND(M$2,Mail!$A67)-LEN(M$2)),LEN(Mail!$A67)-60-FIND(M$2,Mail!$A67)-LEN(M$2),FIND("■",Mail!$A67,FIND(M$2,Mail!$A67)+LEN(M$2))-FIND(M$2,Mail!$A67)-LEN(M$2)-1)))))</f>
        <v/>
      </c>
      <c r="N69" t="str">
        <f>TRIM(CLEAN(IF(ISERROR(FIND(N$2,Mail!$A67)),"",MID(Mail!$A67,FIND(N$2,Mail!$A67)+LEN(N$2)+1,IF(ISERROR(FIND("■",Mail!$A67,FIND(N$2,Mail!$A67)+LEN(N$2))-FIND(N$2,Mail!$A67)-LEN(N$2)),LEN(Mail!$A67)-60-FIND(N$2,Mail!$A67)-LEN(N$2),FIND("■",Mail!$A67,FIND(N$2,Mail!$A67)+LEN(N$2))-FIND(N$2,Mail!$A67)-LEN(N$2)-1)))))</f>
        <v/>
      </c>
      <c r="O69" t="str">
        <f>TRIM(CLEAN(IF(ISERROR(FIND(O$2,Mail!$A67)),"",MID(Mail!$A67,FIND(O$2,Mail!$A67)+LEN(O$2)+1,IF(ISERROR(FIND("■",Mail!$A67,FIND(O$2,Mail!$A67)+LEN(O$2))-FIND(O$2,Mail!$A67)-LEN(O$2)),LEN(Mail!$A67)-60-FIND(O$2,Mail!$A67)-LEN(O$2),FIND("■",Mail!$A67,FIND(O$2,Mail!$A67)+LEN(O$2))-FIND(O$2,Mail!$A67)-LEN(O$2)-1)))))</f>
        <v/>
      </c>
      <c r="P69" t="str">
        <f>TRIM(CLEAN(IF(ISERROR(FIND(P$2,Mail!$A67)),"",MID(Mail!$A67,FIND(P$2,Mail!$A67)+LEN(P$2)+1,IF(ISERROR(FIND("■",Mail!$A67,FIND(P$2,Mail!$A67)+LEN(P$2))-FIND(P$2,Mail!$A67)-LEN(P$2)),LEN(Mail!$A67)-60-FIND(P$2,Mail!$A67)-LEN(P$2),FIND("■",Mail!$A67,FIND(P$2,Mail!$A67)+LEN(P$2))-FIND(P$2,Mail!$A67)-LEN(P$2)-1)))))</f>
        <v/>
      </c>
      <c r="Q69" t="str">
        <f>TRIM(CLEAN(IF(ISERROR(FIND(Q$2,Mail!$A67)),"",MID(Mail!$A67,FIND(Q$2,Mail!$A67)+LEN(Q$2)+1,IF(ISERROR(FIND("■",Mail!$A67,FIND(Q$2,Mail!$A67)+LEN(Q$2))-FIND(Q$2,Mail!$A67)-LEN(Q$2)),LEN(Mail!$A67)-60-FIND(Q$2,Mail!$A67)-LEN(Q$2),FIND("■",Mail!$A67,FIND(Q$2,Mail!$A67)+LEN(Q$2))-FIND(Q$2,Mail!$A67)-LEN(Q$2)-1)))))</f>
        <v/>
      </c>
      <c r="R69" s="8" t="str">
        <f>TRIM(CLEAN(IF(ISERROR(FIND(R$2,Mail!$A67)),"",MID(Mail!$A67,FIND(R$2,Mail!$A67)+LEN(R$2)+1,IF(ISERROR(FIND("■",Mail!$A67,FIND(R$2,Mail!$A67)+LEN(R$2))-FIND(R$2,Mail!$A67)-LEN(R$2)),LEN(Mail!$A67)-60-FIND(R$2,Mail!$A67)-LEN(R$2),FIND("■",Mail!$A67,FIND(R$2,Mail!$A67)+LEN(R$2))-FIND(R$2,Mail!$A67)-LEN(R$2)-1)))))</f>
        <v/>
      </c>
      <c r="S69" t="str">
        <f>TRIM(CLEAN(IF(ISERROR(FIND(S$2,Mail!$A67)),"",MID(Mail!$A67,FIND(S$2,Mail!$A67)+LEN(S$2)+1,IF(ISERROR(FIND("■",Mail!$A67,FIND(S$2,Mail!$A67)+LEN(S$2))-FIND(S$2,Mail!$A67)-LEN(S$2)),LEN(Mail!$A67)-60-FIND(S$2,Mail!$A67)-LEN(S$2),FIND("■",Mail!$A67,FIND(S$2,Mail!$A67)+LEN(S$2))-FIND(S$2,Mail!$A67)-LEN(S$2)-1)))))</f>
        <v/>
      </c>
      <c r="T69" t="str">
        <f>TRIM(CLEAN(IF(ISERROR(FIND(T$2,Mail!$A67)),"",MID(Mail!$A67,FIND(T$2,Mail!$A67)+LEN(T$2)+1,IF(ISERROR(FIND("■",Mail!$A67,FIND(T$2,Mail!$A67)+LEN(T$2))-FIND(T$2,Mail!$A67)-LEN(T$2)),LEN(Mail!$A67)-60-FIND(T$2,Mail!$A67)-LEN(T$2),FIND("■",Mail!$A67,FIND(T$2,Mail!$A67)+LEN(T$2))-FIND(T$2,Mail!$A67)-LEN(T$2)-1)))))</f>
        <v/>
      </c>
      <c r="U69" t="str">
        <f>TRIM(CLEAN(IF(ISERROR(FIND(U$2,Mail!$A67)),"",MID(Mail!$A67,FIND(U$2,Mail!$A67)+LEN(U$2)+1,IF(ISERROR(FIND("■",Mail!$A67,FIND(U$2,Mail!$A67)+LEN(U$2))-FIND(U$2,Mail!$A67)-LEN(U$2)),LEN(Mail!$A67)-60-FIND(U$2,Mail!$A67)-LEN(U$2),FIND("■",Mail!$A67,FIND(U$2,Mail!$A67)+LEN(U$2))-FIND(U$2,Mail!$A67)-LEN(U$2)-1)))))</f>
        <v/>
      </c>
      <c r="V69" t="str">
        <f>TRIM(CLEAN(IF(ISERROR(FIND(V$2,Mail!$A67)),"",MID(Mail!$A67,FIND(V$2,Mail!$A67)+LEN(V$2)+1,IF(ISERROR(FIND("■",Mail!$A67,FIND(V$2,Mail!$A67)+LEN(V$2))-FIND(V$2,Mail!$A67)-LEN(V$2)),LEN(Mail!$A67)-60-FIND(V$2,Mail!$A67)-LEN(V$2),FIND("■",Mail!$A67,FIND(V$2,Mail!$A67)+LEN(V$2))-FIND(V$2,Mail!$A67)-LEN(V$2)-1)))))</f>
        <v/>
      </c>
      <c r="W69" t="str">
        <f>TRIM(CLEAN(IF(ISERROR(FIND(W$2,Mail!$A67)),"",MID(Mail!$A67,FIND(W$2,Mail!$A67)+LEN(W$2)+1,IF(ISERROR(FIND("■",Mail!$A67,FIND(W$2,Mail!$A67)+LEN(W$2))-FIND(W$2,Mail!$A67)-LEN(W$2)),LEN(Mail!$A67)-60-FIND(W$2,Mail!$A67)-LEN(W$2),FIND("■",Mail!$A67,FIND(W$2,Mail!$A67)+LEN(W$2))-FIND(W$2,Mail!$A67)-LEN(W$2)-1)))))</f>
        <v/>
      </c>
      <c r="X69" t="str">
        <f>TRIM(IF(ISERROR(FIND(X$2,Mail!$A67)),"",MID(Mail!$A67,FIND(X$2,Mail!$A67)+LEN(X$2)+1,IF(ISERROR(FIND("■",Mail!$A67,FIND(X$2,Mail!$A67)+LEN(X$2))-FIND(X$2,Mail!$A67)-LEN(X$2)),LEN(Mail!$A67)-60-FIND(X$2,Mail!$A67)-LEN(X$2),FIND("■",Mail!$A67,FIND(X$2,Mail!$A67)+LEN(X$2))-FIND(X$2,Mail!$A67)-LEN(X$2)-1))))</f>
        <v/>
      </c>
      <c r="Y69" t="str">
        <f>TRIM(CLEAN(IF(ISERROR(FIND(Y$2,Mail!$A67)),"",MID(Mail!$A67,FIND(Y$2,Mail!$A67)+LEN(Y$2)+1,IF(ISERROR(FIND("■",Mail!$A67,FIND(Y$2,Mail!$A67)+LEN(Y$2))-FIND(Y$2,Mail!$A67)-LEN(Y$2)),LEN(Mail!$A67)-60-FIND(Y$2,Mail!$A67)-LEN(Y$2),FIND("■",Mail!$A67,FIND(Y$2,Mail!$A67)+LEN(Y$2))-FIND(Y$2,Mail!$A67)-LEN(Y$2)-1)))))</f>
        <v/>
      </c>
      <c r="Z69" t="str">
        <f>TRIM(CLEAN(IF(ISERROR(FIND(Z$2,Mail!$A67)),"",MID(Mail!$A67,FIND(Z$2,Mail!$A67)+LEN(Z$2)+1,IF(ISERROR(FIND("■",Mail!$A67,FIND(Z$2,Mail!$A67)+LEN(Z$2))-FIND(Z$2,Mail!$A67)-LEN(Z$2)),LEN(Mail!$A67)-60-FIND(Z$2,Mail!$A67)-LEN(Z$2),FIND("■",Mail!$A67,FIND(Z$2,Mail!$A67)+LEN(Z$2))-FIND(Z$2,Mail!$A67)-LEN(Z$2)-1)))))</f>
        <v/>
      </c>
      <c r="AA69" t="str">
        <f>TRIM(CLEAN(IF(ISERROR(FIND(AA$2,Mail!$A67)),"",MID(Mail!$A67,FIND(AA$2,Mail!$A67)+LEN(AA$2)+1,IF(ISERROR(FIND("■",Mail!$A67,FIND(AA$2,Mail!$A67)+LEN(AA$2))-FIND(AA$2,Mail!$A67)-LEN(AA$2)),LEN(Mail!$A67)-60-FIND(AA$2,Mail!$A67)-LEN(AA$2),FIND("■",Mail!$A67,FIND(AA$2,Mail!$A67)+LEN(AA$2))-FIND(AA$2,Mail!$A67)-LEN(AA$2)-1)))))</f>
        <v/>
      </c>
      <c r="AB69" t="str">
        <f>TRIM(CLEAN(IF(ISERROR(FIND(AB$2,Mail!$A67)),"",MID(Mail!$A67,FIND(AB$2,Mail!$A67)+LEN(AB$2)+1,IF(ISERROR(FIND("■",Mail!$A67,FIND(AB$2,Mail!$A67)+LEN(AB$2))-FIND(AB$2,Mail!$A67)-LEN(AB$2)),LEN(Mail!$A67)-60-FIND(AB$2,Mail!$A67)-LEN(AB$2),FIND("■",Mail!$A67,FIND(AB$2,Mail!$A67)+LEN(AB$2))-FIND(AB$2,Mail!$A67)-LEN(AB$2)-1)))))</f>
        <v/>
      </c>
      <c r="AC69" s="8" t="str">
        <f>TRIM(CLEAN(IF(ISERROR(FIND(AC$2,Mail!$A67)),"",MID(Mail!$A67,FIND(AC$2,Mail!$A67)+LEN(AC$2)+1,IF(ISERROR(FIND("■",Mail!$A67,FIND(AC$2,Mail!$A67)+LEN(AC$2))-FIND(AC$2,Mail!$A67)-LEN(AC$2)),LEN(Mail!$A67)-60-FIND(AC$2,Mail!$A67)-LEN(AC$2),FIND("■",Mail!$A67,FIND(AC$2,Mail!$A67)+LEN(AC$2))-FIND(AC$2,Mail!$A67)-LEN(AC$2)-1)))))</f>
        <v/>
      </c>
      <c r="AD69" t="str">
        <f>TRIM(CLEAN(IF(ISERROR(FIND(AD$2,Mail!$A67)),"",MID(Mail!$A67,FIND(AD$2,Mail!$A67)+LEN(AD$2)+1,IF(ISERROR(FIND("■",Mail!$A67,FIND(AD$2,Mail!$A67)+LEN(AD$2))-FIND(AD$2,Mail!$A67)-LEN(AD$2)),LEN(Mail!$A67)-60-FIND(AD$2,Mail!$A67)-LEN(AD$2),FIND("■",Mail!$A67,FIND(AD$2,Mail!$A67)+LEN(AD$2))-FIND(AD$2,Mail!$A67)-LEN(AD$2)-1)))))</f>
        <v/>
      </c>
      <c r="AE69" t="str">
        <f>TRIM(CLEAN(IF(ISERROR(FIND(AE$2,Mail!$A67)),"",MID(Mail!$A67,FIND(AE$2,Mail!$A67)+LEN(AE$2)+1,IF(ISERROR(FIND("■",Mail!$A67,FIND(AE$2,Mail!$A67)+LEN(AE$2))-FIND(AE$2,Mail!$A67)-LEN(AE$2)),LEN(Mail!$A67)-60-FIND(AE$2,Mail!$A67)-LEN(AE$2),FIND("■",Mail!$A67,FIND(AE$2,Mail!$A67)+LEN(AE$2))-FIND(AE$2,Mail!$A67)-LEN(AE$2)-1)))))</f>
        <v/>
      </c>
      <c r="AF69" t="str">
        <f>TRIM(CLEAN(IF(ISERROR(FIND(AF$2,Mail!$A67)),"",MID(Mail!$A67,FIND(AF$2,Mail!$A67)+LEN(AF$2)+1,IF(ISERROR(FIND("■",Mail!$A67,FIND(AF$2,Mail!$A67)+LEN(AF$2))-FIND(AF$2,Mail!$A67)-LEN(AF$2)),LEN(Mail!$A67)-60-FIND(AF$2,Mail!$A67)-LEN(AF$2),FIND("■",Mail!$A67,FIND(AF$2,Mail!$A67)+LEN(AF$2))-FIND(AF$2,Mail!$A67)-LEN(AF$2)-1)))))</f>
        <v/>
      </c>
      <c r="AG69" t="str">
        <f>TRIM(IF(ISERROR(FIND(AG$2,Mail!$A67)),"",MID(Mail!$A67,FIND(AG$2,Mail!$A67)+LEN(AG$2)+1,IF(ISERROR(FIND("■",Mail!$A67,FIND(AG$2,Mail!$A67)+LEN(AG$2))-FIND(AG$2,Mail!$A67)-LEN(AG$2)),LEN(Mail!$A67)-60-FIND(AG$2,Mail!$A67)-LEN(AG$2),FIND("■",Mail!$A67,FIND(AG$2,Mail!$A67)+LEN(AG$2))-FIND(AG$2,Mail!$A67)-LEN(AG$2)-1))))</f>
        <v/>
      </c>
      <c r="AH69" t="str">
        <f>TRIM(IF(ISERROR(FIND(AH$2,Mail!$A67)),"",MID(Mail!$A67,FIND(AH$2,Mail!$A67)+LEN(AH$2)+1,IF(ISERROR(FIND("■",Mail!$A67,FIND(AH$2,Mail!$A67)+LEN(AH$2))-FIND(AH$2,Mail!$A67)-LEN(AH$2)),LEN(Mail!$A67)-60-FIND(AH$2,Mail!$A67)-LEN(AH$2),FIND("■",Mail!$A67,FIND(AH$2,Mail!$A67)+LEN(AH$2))-FIND(AH$2,Mail!$A67)-LEN(AH$2)-1))))</f>
        <v/>
      </c>
      <c r="AI69" t="str">
        <f>TRIM(IF(ISERROR(FIND(AI$2,Mail!$A67)),"",MID(Mail!$A67,FIND(AI$2,Mail!$A67)+LEN(AI$2)+1,IF(ISERROR(FIND("■",Mail!$A67,FIND(AI$2,Mail!$A67)+LEN(AI$2))-FIND(AI$2,Mail!$A67)-LEN(AI$2)),LEN(Mail!$A67)-60-FIND(AI$2,Mail!$A67)-LEN(AI$2),FIND("■",Mail!$A67,FIND(AI$2,Mail!$A67)+LEN(AI$2))-FIND(AI$2,Mail!$A67)-LEN(AI$2)-1))))</f>
        <v/>
      </c>
    </row>
    <row r="70" spans="1:35" x14ac:dyDescent="0.15">
      <c r="A70" s="9" t="str">
        <f t="shared" si="6"/>
        <v/>
      </c>
      <c r="B70" s="8" t="str">
        <f>CLEAN(SUBSTITUTE(IF(ISERROR(FIND("yokohama",Mail!$A68)),"",MID(Mail!$A68,FIND("yokohama",Mail!$A68)+LEN("yokohama")+1,FIND("件目",Mail!$A68,FIND("yokohama",Mail!$A68))-(FIND("yokohama",Mail!$A68)+LEN("yokohama")+1)))," ",""))</f>
        <v/>
      </c>
      <c r="C70" s="2" t="str">
        <f t="shared" si="5"/>
        <v/>
      </c>
      <c r="D70" s="9" t="str">
        <f t="shared" si="7"/>
        <v/>
      </c>
      <c r="E70" s="8" t="str">
        <f t="shared" si="8"/>
        <v/>
      </c>
      <c r="F70" t="str">
        <f>TRIM(CLEAN(IF(ISERROR(FIND(F$2,Mail!$A68)),"",MID(Mail!$A68,FIND(F$2,Mail!$A68)+LEN(F$2)+1,IF(ISERROR(FIND("■",Mail!$A68,FIND(F$2,Mail!$A68)+LEN(F$2))-FIND(F$2,Mail!$A68)-LEN(F$2)),LEN(Mail!$A68)-60-FIND(F$2,Mail!$A68)-LEN(F$2),FIND("■",Mail!$A68,FIND(F$2,Mail!$A68)+LEN(F$2))-FIND(F$2,Mail!$A68)-LEN(F$2)-1)))))</f>
        <v/>
      </c>
      <c r="G70" t="str">
        <f>TRIM(CLEAN(IF(ISERROR(FIND(G$2,Mail!$A68)),"",MID(Mail!$A68,FIND(G$2,Mail!$A68)+LEN(G$2)+1,IF(ISERROR(FIND("■",Mail!$A68,FIND(G$2,Mail!$A68)+LEN(G$2))-FIND(G$2,Mail!$A68)-LEN(G$2)),LEN(Mail!$A68)-60-FIND(G$2,Mail!$A68)-LEN(G$2),FIND("■",Mail!$A68,FIND(G$2,Mail!$A68)+LEN(G$2))-FIND(G$2,Mail!$A68)-LEN(G$2)-1)))))</f>
        <v/>
      </c>
      <c r="H70" s="8" t="str">
        <f>TRIM(CLEAN(IF(ISERROR(FIND(H$2,Mail!$A68)),"",MID(Mail!$A68,FIND(H$2,Mail!$A68)+LEN(H$2)+1,IF(ISERROR(FIND("■",Mail!$A68,FIND(H$2,Mail!$A68)+LEN(H$2))-FIND(H$2,Mail!$A68)-LEN(H$2)),LEN(Mail!$A68)-60-FIND(H$2,Mail!$A68)-LEN(H$2),FIND("■",Mail!$A68,FIND(H$2,Mail!$A68)+LEN(H$2))-FIND(H$2,Mail!$A68)-LEN(H$2)-1)))))</f>
        <v/>
      </c>
      <c r="I70" t="str">
        <f>TRIM(CLEAN(IF(ISERROR(FIND(I$2,Mail!$A68)),"",MID(Mail!$A68,FIND(I$2,Mail!$A68)+LEN(I$2)+1,IF(ISERROR(FIND("■",Mail!$A68,FIND(I$2,Mail!$A68)+LEN(I$2))-FIND(I$2,Mail!$A68)-LEN(I$2)),LEN(Mail!$A68)-60-FIND(I$2,Mail!$A68)-LEN(I$2),FIND("■",Mail!$A68,FIND(I$2,Mail!$A68)+LEN(I$2))-FIND(I$2,Mail!$A68)-LEN(I$2)-1)))))</f>
        <v/>
      </c>
      <c r="J70" t="str">
        <f>TRIM(IF(ISERROR(FIND(J$2,Mail!$A68)),"",MID(Mail!$A68,FIND(J$2,Mail!$A68)+LEN(J$2)+1,IF(ISERROR(FIND("■",Mail!$A68,FIND(J$2,Mail!$A68)+LEN(J$2))-FIND(J$2,Mail!$A68)-LEN(J$2)),LEN(Mail!$A68)-60-FIND(J$2,Mail!$A68)-LEN(J$2),FIND("■",Mail!$A68,FIND(J$2,Mail!$A68)+LEN(J$2))-FIND(J$2,Mail!$A68)-LEN(J$2)-1))))</f>
        <v/>
      </c>
      <c r="K70" t="str">
        <f>TRIM(IF(ISERROR(FIND(K$2,Mail!$A68)),"",MID(Mail!$A68,FIND(K$2,Mail!$A68)+LEN(K$2)+1,IF(ISERROR(FIND("■",Mail!$A68,FIND(K$2,Mail!$A68)+LEN(K$2))-FIND(K$2,Mail!$A68)-LEN(K$2)),LEN(Mail!$A68)-60-FIND(K$2,Mail!$A68)-LEN(K$2),FIND("■",Mail!$A68,FIND(K$2,Mail!$A68)+LEN(K$2))-FIND(K$2,Mail!$A68)-LEN(K$2)-1))))</f>
        <v/>
      </c>
      <c r="L70" t="str">
        <f>TRIM(IF(ISERROR(FIND(L$2,Mail!$A68)),"",MID(Mail!$A68,FIND(L$2,Mail!$A68)+LEN(L$2)+1,IF(ISERROR(FIND("■",Mail!$A68,FIND(L$2,Mail!$A68)+LEN(L$2))-FIND(L$2,Mail!$A68)-LEN(L$2)),LEN(Mail!$A68)-60-FIND(L$2,Mail!$A68)-LEN(L$2),FIND("■",Mail!$A68,FIND(L$2,Mail!$A68)+LEN(L$2))-FIND(L$2,Mail!$A68)-LEN(L$2)-1))))</f>
        <v/>
      </c>
      <c r="M70" t="str">
        <f>TRIM(CLEAN(IF(ISERROR(FIND(M$2,Mail!$A68)),"",MID(Mail!$A68,FIND(M$2,Mail!$A68)+LEN(M$2)+1,IF(ISERROR(FIND("■",Mail!$A68,FIND(M$2,Mail!$A68)+LEN(M$2))-FIND(M$2,Mail!$A68)-LEN(M$2)),LEN(Mail!$A68)-60-FIND(M$2,Mail!$A68)-LEN(M$2),FIND("■",Mail!$A68,FIND(M$2,Mail!$A68)+LEN(M$2))-FIND(M$2,Mail!$A68)-LEN(M$2)-1)))))</f>
        <v/>
      </c>
      <c r="N70" t="str">
        <f>TRIM(CLEAN(IF(ISERROR(FIND(N$2,Mail!$A68)),"",MID(Mail!$A68,FIND(N$2,Mail!$A68)+LEN(N$2)+1,IF(ISERROR(FIND("■",Mail!$A68,FIND(N$2,Mail!$A68)+LEN(N$2))-FIND(N$2,Mail!$A68)-LEN(N$2)),LEN(Mail!$A68)-60-FIND(N$2,Mail!$A68)-LEN(N$2),FIND("■",Mail!$A68,FIND(N$2,Mail!$A68)+LEN(N$2))-FIND(N$2,Mail!$A68)-LEN(N$2)-1)))))</f>
        <v/>
      </c>
      <c r="O70" t="str">
        <f>TRIM(CLEAN(IF(ISERROR(FIND(O$2,Mail!$A68)),"",MID(Mail!$A68,FIND(O$2,Mail!$A68)+LEN(O$2)+1,IF(ISERROR(FIND("■",Mail!$A68,FIND(O$2,Mail!$A68)+LEN(O$2))-FIND(O$2,Mail!$A68)-LEN(O$2)),LEN(Mail!$A68)-60-FIND(O$2,Mail!$A68)-LEN(O$2),FIND("■",Mail!$A68,FIND(O$2,Mail!$A68)+LEN(O$2))-FIND(O$2,Mail!$A68)-LEN(O$2)-1)))))</f>
        <v/>
      </c>
      <c r="P70" t="str">
        <f>TRIM(CLEAN(IF(ISERROR(FIND(P$2,Mail!$A68)),"",MID(Mail!$A68,FIND(P$2,Mail!$A68)+LEN(P$2)+1,IF(ISERROR(FIND("■",Mail!$A68,FIND(P$2,Mail!$A68)+LEN(P$2))-FIND(P$2,Mail!$A68)-LEN(P$2)),LEN(Mail!$A68)-60-FIND(P$2,Mail!$A68)-LEN(P$2),FIND("■",Mail!$A68,FIND(P$2,Mail!$A68)+LEN(P$2))-FIND(P$2,Mail!$A68)-LEN(P$2)-1)))))</f>
        <v/>
      </c>
      <c r="Q70" t="str">
        <f>TRIM(CLEAN(IF(ISERROR(FIND(Q$2,Mail!$A68)),"",MID(Mail!$A68,FIND(Q$2,Mail!$A68)+LEN(Q$2)+1,IF(ISERROR(FIND("■",Mail!$A68,FIND(Q$2,Mail!$A68)+LEN(Q$2))-FIND(Q$2,Mail!$A68)-LEN(Q$2)),LEN(Mail!$A68)-60-FIND(Q$2,Mail!$A68)-LEN(Q$2),FIND("■",Mail!$A68,FIND(Q$2,Mail!$A68)+LEN(Q$2))-FIND(Q$2,Mail!$A68)-LEN(Q$2)-1)))))</f>
        <v/>
      </c>
      <c r="R70" s="8" t="str">
        <f>TRIM(CLEAN(IF(ISERROR(FIND(R$2,Mail!$A68)),"",MID(Mail!$A68,FIND(R$2,Mail!$A68)+LEN(R$2)+1,IF(ISERROR(FIND("■",Mail!$A68,FIND(R$2,Mail!$A68)+LEN(R$2))-FIND(R$2,Mail!$A68)-LEN(R$2)),LEN(Mail!$A68)-60-FIND(R$2,Mail!$A68)-LEN(R$2),FIND("■",Mail!$A68,FIND(R$2,Mail!$A68)+LEN(R$2))-FIND(R$2,Mail!$A68)-LEN(R$2)-1)))))</f>
        <v/>
      </c>
      <c r="S70" t="str">
        <f>TRIM(CLEAN(IF(ISERROR(FIND(S$2,Mail!$A68)),"",MID(Mail!$A68,FIND(S$2,Mail!$A68)+LEN(S$2)+1,IF(ISERROR(FIND("■",Mail!$A68,FIND(S$2,Mail!$A68)+LEN(S$2))-FIND(S$2,Mail!$A68)-LEN(S$2)),LEN(Mail!$A68)-60-FIND(S$2,Mail!$A68)-LEN(S$2),FIND("■",Mail!$A68,FIND(S$2,Mail!$A68)+LEN(S$2))-FIND(S$2,Mail!$A68)-LEN(S$2)-1)))))</f>
        <v/>
      </c>
      <c r="T70" t="str">
        <f>TRIM(CLEAN(IF(ISERROR(FIND(T$2,Mail!$A68)),"",MID(Mail!$A68,FIND(T$2,Mail!$A68)+LEN(T$2)+1,IF(ISERROR(FIND("■",Mail!$A68,FIND(T$2,Mail!$A68)+LEN(T$2))-FIND(T$2,Mail!$A68)-LEN(T$2)),LEN(Mail!$A68)-60-FIND(T$2,Mail!$A68)-LEN(T$2),FIND("■",Mail!$A68,FIND(T$2,Mail!$A68)+LEN(T$2))-FIND(T$2,Mail!$A68)-LEN(T$2)-1)))))</f>
        <v/>
      </c>
      <c r="U70" t="str">
        <f>TRIM(CLEAN(IF(ISERROR(FIND(U$2,Mail!$A68)),"",MID(Mail!$A68,FIND(U$2,Mail!$A68)+LEN(U$2)+1,IF(ISERROR(FIND("■",Mail!$A68,FIND(U$2,Mail!$A68)+LEN(U$2))-FIND(U$2,Mail!$A68)-LEN(U$2)),LEN(Mail!$A68)-60-FIND(U$2,Mail!$A68)-LEN(U$2),FIND("■",Mail!$A68,FIND(U$2,Mail!$A68)+LEN(U$2))-FIND(U$2,Mail!$A68)-LEN(U$2)-1)))))</f>
        <v/>
      </c>
      <c r="V70" t="str">
        <f>TRIM(CLEAN(IF(ISERROR(FIND(V$2,Mail!$A68)),"",MID(Mail!$A68,FIND(V$2,Mail!$A68)+LEN(V$2)+1,IF(ISERROR(FIND("■",Mail!$A68,FIND(V$2,Mail!$A68)+LEN(V$2))-FIND(V$2,Mail!$A68)-LEN(V$2)),LEN(Mail!$A68)-60-FIND(V$2,Mail!$A68)-LEN(V$2),FIND("■",Mail!$A68,FIND(V$2,Mail!$A68)+LEN(V$2))-FIND(V$2,Mail!$A68)-LEN(V$2)-1)))))</f>
        <v/>
      </c>
      <c r="W70" t="str">
        <f>TRIM(CLEAN(IF(ISERROR(FIND(W$2,Mail!$A68)),"",MID(Mail!$A68,FIND(W$2,Mail!$A68)+LEN(W$2)+1,IF(ISERROR(FIND("■",Mail!$A68,FIND(W$2,Mail!$A68)+LEN(W$2))-FIND(W$2,Mail!$A68)-LEN(W$2)),LEN(Mail!$A68)-60-FIND(W$2,Mail!$A68)-LEN(W$2),FIND("■",Mail!$A68,FIND(W$2,Mail!$A68)+LEN(W$2))-FIND(W$2,Mail!$A68)-LEN(W$2)-1)))))</f>
        <v/>
      </c>
      <c r="X70" t="str">
        <f>TRIM(IF(ISERROR(FIND(X$2,Mail!$A68)),"",MID(Mail!$A68,FIND(X$2,Mail!$A68)+LEN(X$2)+1,IF(ISERROR(FIND("■",Mail!$A68,FIND(X$2,Mail!$A68)+LEN(X$2))-FIND(X$2,Mail!$A68)-LEN(X$2)),LEN(Mail!$A68)-60-FIND(X$2,Mail!$A68)-LEN(X$2),FIND("■",Mail!$A68,FIND(X$2,Mail!$A68)+LEN(X$2))-FIND(X$2,Mail!$A68)-LEN(X$2)-1))))</f>
        <v/>
      </c>
      <c r="Y70" t="str">
        <f>TRIM(CLEAN(IF(ISERROR(FIND(Y$2,Mail!$A68)),"",MID(Mail!$A68,FIND(Y$2,Mail!$A68)+LEN(Y$2)+1,IF(ISERROR(FIND("■",Mail!$A68,FIND(Y$2,Mail!$A68)+LEN(Y$2))-FIND(Y$2,Mail!$A68)-LEN(Y$2)),LEN(Mail!$A68)-60-FIND(Y$2,Mail!$A68)-LEN(Y$2),FIND("■",Mail!$A68,FIND(Y$2,Mail!$A68)+LEN(Y$2))-FIND(Y$2,Mail!$A68)-LEN(Y$2)-1)))))</f>
        <v/>
      </c>
      <c r="Z70" t="str">
        <f>TRIM(CLEAN(IF(ISERROR(FIND(Z$2,Mail!$A68)),"",MID(Mail!$A68,FIND(Z$2,Mail!$A68)+LEN(Z$2)+1,IF(ISERROR(FIND("■",Mail!$A68,FIND(Z$2,Mail!$A68)+LEN(Z$2))-FIND(Z$2,Mail!$A68)-LEN(Z$2)),LEN(Mail!$A68)-60-FIND(Z$2,Mail!$A68)-LEN(Z$2),FIND("■",Mail!$A68,FIND(Z$2,Mail!$A68)+LEN(Z$2))-FIND(Z$2,Mail!$A68)-LEN(Z$2)-1)))))</f>
        <v/>
      </c>
      <c r="AA70" t="str">
        <f>TRIM(CLEAN(IF(ISERROR(FIND(AA$2,Mail!$A68)),"",MID(Mail!$A68,FIND(AA$2,Mail!$A68)+LEN(AA$2)+1,IF(ISERROR(FIND("■",Mail!$A68,FIND(AA$2,Mail!$A68)+LEN(AA$2))-FIND(AA$2,Mail!$A68)-LEN(AA$2)),LEN(Mail!$A68)-60-FIND(AA$2,Mail!$A68)-LEN(AA$2),FIND("■",Mail!$A68,FIND(AA$2,Mail!$A68)+LEN(AA$2))-FIND(AA$2,Mail!$A68)-LEN(AA$2)-1)))))</f>
        <v/>
      </c>
      <c r="AB70" t="str">
        <f>TRIM(CLEAN(IF(ISERROR(FIND(AB$2,Mail!$A68)),"",MID(Mail!$A68,FIND(AB$2,Mail!$A68)+LEN(AB$2)+1,IF(ISERROR(FIND("■",Mail!$A68,FIND(AB$2,Mail!$A68)+LEN(AB$2))-FIND(AB$2,Mail!$A68)-LEN(AB$2)),LEN(Mail!$A68)-60-FIND(AB$2,Mail!$A68)-LEN(AB$2),FIND("■",Mail!$A68,FIND(AB$2,Mail!$A68)+LEN(AB$2))-FIND(AB$2,Mail!$A68)-LEN(AB$2)-1)))))</f>
        <v/>
      </c>
      <c r="AC70" s="8" t="str">
        <f>TRIM(CLEAN(IF(ISERROR(FIND(AC$2,Mail!$A68)),"",MID(Mail!$A68,FIND(AC$2,Mail!$A68)+LEN(AC$2)+1,IF(ISERROR(FIND("■",Mail!$A68,FIND(AC$2,Mail!$A68)+LEN(AC$2))-FIND(AC$2,Mail!$A68)-LEN(AC$2)),LEN(Mail!$A68)-60-FIND(AC$2,Mail!$A68)-LEN(AC$2),FIND("■",Mail!$A68,FIND(AC$2,Mail!$A68)+LEN(AC$2))-FIND(AC$2,Mail!$A68)-LEN(AC$2)-1)))))</f>
        <v/>
      </c>
      <c r="AD70" t="str">
        <f>TRIM(CLEAN(IF(ISERROR(FIND(AD$2,Mail!$A68)),"",MID(Mail!$A68,FIND(AD$2,Mail!$A68)+LEN(AD$2)+1,IF(ISERROR(FIND("■",Mail!$A68,FIND(AD$2,Mail!$A68)+LEN(AD$2))-FIND(AD$2,Mail!$A68)-LEN(AD$2)),LEN(Mail!$A68)-60-FIND(AD$2,Mail!$A68)-LEN(AD$2),FIND("■",Mail!$A68,FIND(AD$2,Mail!$A68)+LEN(AD$2))-FIND(AD$2,Mail!$A68)-LEN(AD$2)-1)))))</f>
        <v/>
      </c>
      <c r="AE70" t="str">
        <f>TRIM(CLEAN(IF(ISERROR(FIND(AE$2,Mail!$A68)),"",MID(Mail!$A68,FIND(AE$2,Mail!$A68)+LEN(AE$2)+1,IF(ISERROR(FIND("■",Mail!$A68,FIND(AE$2,Mail!$A68)+LEN(AE$2))-FIND(AE$2,Mail!$A68)-LEN(AE$2)),LEN(Mail!$A68)-60-FIND(AE$2,Mail!$A68)-LEN(AE$2),FIND("■",Mail!$A68,FIND(AE$2,Mail!$A68)+LEN(AE$2))-FIND(AE$2,Mail!$A68)-LEN(AE$2)-1)))))</f>
        <v/>
      </c>
      <c r="AF70" t="str">
        <f>TRIM(CLEAN(IF(ISERROR(FIND(AF$2,Mail!$A68)),"",MID(Mail!$A68,FIND(AF$2,Mail!$A68)+LEN(AF$2)+1,IF(ISERROR(FIND("■",Mail!$A68,FIND(AF$2,Mail!$A68)+LEN(AF$2))-FIND(AF$2,Mail!$A68)-LEN(AF$2)),LEN(Mail!$A68)-60-FIND(AF$2,Mail!$A68)-LEN(AF$2),FIND("■",Mail!$A68,FIND(AF$2,Mail!$A68)+LEN(AF$2))-FIND(AF$2,Mail!$A68)-LEN(AF$2)-1)))))</f>
        <v/>
      </c>
      <c r="AG70" t="str">
        <f>TRIM(IF(ISERROR(FIND(AG$2,Mail!$A68)),"",MID(Mail!$A68,FIND(AG$2,Mail!$A68)+LEN(AG$2)+1,IF(ISERROR(FIND("■",Mail!$A68,FIND(AG$2,Mail!$A68)+LEN(AG$2))-FIND(AG$2,Mail!$A68)-LEN(AG$2)),LEN(Mail!$A68)-60-FIND(AG$2,Mail!$A68)-LEN(AG$2),FIND("■",Mail!$A68,FIND(AG$2,Mail!$A68)+LEN(AG$2))-FIND(AG$2,Mail!$A68)-LEN(AG$2)-1))))</f>
        <v/>
      </c>
      <c r="AH70" t="str">
        <f>TRIM(IF(ISERROR(FIND(AH$2,Mail!$A68)),"",MID(Mail!$A68,FIND(AH$2,Mail!$A68)+LEN(AH$2)+1,IF(ISERROR(FIND("■",Mail!$A68,FIND(AH$2,Mail!$A68)+LEN(AH$2))-FIND(AH$2,Mail!$A68)-LEN(AH$2)),LEN(Mail!$A68)-60-FIND(AH$2,Mail!$A68)-LEN(AH$2),FIND("■",Mail!$A68,FIND(AH$2,Mail!$A68)+LEN(AH$2))-FIND(AH$2,Mail!$A68)-LEN(AH$2)-1))))</f>
        <v/>
      </c>
      <c r="AI70" t="str">
        <f>TRIM(IF(ISERROR(FIND(AI$2,Mail!$A68)),"",MID(Mail!$A68,FIND(AI$2,Mail!$A68)+LEN(AI$2)+1,IF(ISERROR(FIND("■",Mail!$A68,FIND(AI$2,Mail!$A68)+LEN(AI$2))-FIND(AI$2,Mail!$A68)-LEN(AI$2)),LEN(Mail!$A68)-60-FIND(AI$2,Mail!$A68)-LEN(AI$2),FIND("■",Mail!$A68,FIND(AI$2,Mail!$A68)+LEN(AI$2))-FIND(AI$2,Mail!$A68)-LEN(AI$2)-1))))</f>
        <v/>
      </c>
    </row>
    <row r="71" spans="1:35" x14ac:dyDescent="0.15">
      <c r="A71" s="9" t="str">
        <f t="shared" si="6"/>
        <v/>
      </c>
      <c r="B71" s="8" t="str">
        <f>CLEAN(SUBSTITUTE(IF(ISERROR(FIND("yokohama",Mail!$A69)),"",MID(Mail!$A69,FIND("yokohama",Mail!$A69)+LEN("yokohama")+1,FIND("件目",Mail!$A69,FIND("yokohama",Mail!$A69))-(FIND("yokohama",Mail!$A69)+LEN("yokohama")+1)))," ",""))</f>
        <v/>
      </c>
      <c r="C71" s="2" t="str">
        <f t="shared" si="5"/>
        <v/>
      </c>
      <c r="D71" s="9" t="str">
        <f t="shared" si="7"/>
        <v/>
      </c>
      <c r="E71" s="8" t="str">
        <f t="shared" si="8"/>
        <v/>
      </c>
      <c r="F71" t="str">
        <f>TRIM(CLEAN(IF(ISERROR(FIND(F$2,Mail!$A69)),"",MID(Mail!$A69,FIND(F$2,Mail!$A69)+LEN(F$2)+1,IF(ISERROR(FIND("■",Mail!$A69,FIND(F$2,Mail!$A69)+LEN(F$2))-FIND(F$2,Mail!$A69)-LEN(F$2)),LEN(Mail!$A69)-60-FIND(F$2,Mail!$A69)-LEN(F$2),FIND("■",Mail!$A69,FIND(F$2,Mail!$A69)+LEN(F$2))-FIND(F$2,Mail!$A69)-LEN(F$2)-1)))))</f>
        <v/>
      </c>
      <c r="G71" t="str">
        <f>TRIM(CLEAN(IF(ISERROR(FIND(G$2,Mail!$A69)),"",MID(Mail!$A69,FIND(G$2,Mail!$A69)+LEN(G$2)+1,IF(ISERROR(FIND("■",Mail!$A69,FIND(G$2,Mail!$A69)+LEN(G$2))-FIND(G$2,Mail!$A69)-LEN(G$2)),LEN(Mail!$A69)-60-FIND(G$2,Mail!$A69)-LEN(G$2),FIND("■",Mail!$A69,FIND(G$2,Mail!$A69)+LEN(G$2))-FIND(G$2,Mail!$A69)-LEN(G$2)-1)))))</f>
        <v/>
      </c>
      <c r="H71" s="8" t="str">
        <f>TRIM(CLEAN(IF(ISERROR(FIND(H$2,Mail!$A69)),"",MID(Mail!$A69,FIND(H$2,Mail!$A69)+LEN(H$2)+1,IF(ISERROR(FIND("■",Mail!$A69,FIND(H$2,Mail!$A69)+LEN(H$2))-FIND(H$2,Mail!$A69)-LEN(H$2)),LEN(Mail!$A69)-60-FIND(H$2,Mail!$A69)-LEN(H$2),FIND("■",Mail!$A69,FIND(H$2,Mail!$A69)+LEN(H$2))-FIND(H$2,Mail!$A69)-LEN(H$2)-1)))))</f>
        <v/>
      </c>
      <c r="I71" t="str">
        <f>TRIM(CLEAN(IF(ISERROR(FIND(I$2,Mail!$A69)),"",MID(Mail!$A69,FIND(I$2,Mail!$A69)+LEN(I$2)+1,IF(ISERROR(FIND("■",Mail!$A69,FIND(I$2,Mail!$A69)+LEN(I$2))-FIND(I$2,Mail!$A69)-LEN(I$2)),LEN(Mail!$A69)-60-FIND(I$2,Mail!$A69)-LEN(I$2),FIND("■",Mail!$A69,FIND(I$2,Mail!$A69)+LEN(I$2))-FIND(I$2,Mail!$A69)-LEN(I$2)-1)))))</f>
        <v/>
      </c>
      <c r="J71" t="str">
        <f>TRIM(IF(ISERROR(FIND(J$2,Mail!$A69)),"",MID(Mail!$A69,FIND(J$2,Mail!$A69)+LEN(J$2)+1,IF(ISERROR(FIND("■",Mail!$A69,FIND(J$2,Mail!$A69)+LEN(J$2))-FIND(J$2,Mail!$A69)-LEN(J$2)),LEN(Mail!$A69)-60-FIND(J$2,Mail!$A69)-LEN(J$2),FIND("■",Mail!$A69,FIND(J$2,Mail!$A69)+LEN(J$2))-FIND(J$2,Mail!$A69)-LEN(J$2)-1))))</f>
        <v/>
      </c>
      <c r="K71" t="str">
        <f>TRIM(IF(ISERROR(FIND(K$2,Mail!$A69)),"",MID(Mail!$A69,FIND(K$2,Mail!$A69)+LEN(K$2)+1,IF(ISERROR(FIND("■",Mail!$A69,FIND(K$2,Mail!$A69)+LEN(K$2))-FIND(K$2,Mail!$A69)-LEN(K$2)),LEN(Mail!$A69)-60-FIND(K$2,Mail!$A69)-LEN(K$2),FIND("■",Mail!$A69,FIND(K$2,Mail!$A69)+LEN(K$2))-FIND(K$2,Mail!$A69)-LEN(K$2)-1))))</f>
        <v/>
      </c>
      <c r="L71" t="str">
        <f>TRIM(IF(ISERROR(FIND(L$2,Mail!$A69)),"",MID(Mail!$A69,FIND(L$2,Mail!$A69)+LEN(L$2)+1,IF(ISERROR(FIND("■",Mail!$A69,FIND(L$2,Mail!$A69)+LEN(L$2))-FIND(L$2,Mail!$A69)-LEN(L$2)),LEN(Mail!$A69)-60-FIND(L$2,Mail!$A69)-LEN(L$2),FIND("■",Mail!$A69,FIND(L$2,Mail!$A69)+LEN(L$2))-FIND(L$2,Mail!$A69)-LEN(L$2)-1))))</f>
        <v/>
      </c>
      <c r="M71" t="str">
        <f>TRIM(CLEAN(IF(ISERROR(FIND(M$2,Mail!$A69)),"",MID(Mail!$A69,FIND(M$2,Mail!$A69)+LEN(M$2)+1,IF(ISERROR(FIND("■",Mail!$A69,FIND(M$2,Mail!$A69)+LEN(M$2))-FIND(M$2,Mail!$A69)-LEN(M$2)),LEN(Mail!$A69)-60-FIND(M$2,Mail!$A69)-LEN(M$2),FIND("■",Mail!$A69,FIND(M$2,Mail!$A69)+LEN(M$2))-FIND(M$2,Mail!$A69)-LEN(M$2)-1)))))</f>
        <v/>
      </c>
      <c r="N71" t="str">
        <f>TRIM(CLEAN(IF(ISERROR(FIND(N$2,Mail!$A69)),"",MID(Mail!$A69,FIND(N$2,Mail!$A69)+LEN(N$2)+1,IF(ISERROR(FIND("■",Mail!$A69,FIND(N$2,Mail!$A69)+LEN(N$2))-FIND(N$2,Mail!$A69)-LEN(N$2)),LEN(Mail!$A69)-60-FIND(N$2,Mail!$A69)-LEN(N$2),FIND("■",Mail!$A69,FIND(N$2,Mail!$A69)+LEN(N$2))-FIND(N$2,Mail!$A69)-LEN(N$2)-1)))))</f>
        <v/>
      </c>
      <c r="O71" t="str">
        <f>TRIM(CLEAN(IF(ISERROR(FIND(O$2,Mail!$A69)),"",MID(Mail!$A69,FIND(O$2,Mail!$A69)+LEN(O$2)+1,IF(ISERROR(FIND("■",Mail!$A69,FIND(O$2,Mail!$A69)+LEN(O$2))-FIND(O$2,Mail!$A69)-LEN(O$2)),LEN(Mail!$A69)-60-FIND(O$2,Mail!$A69)-LEN(O$2),FIND("■",Mail!$A69,FIND(O$2,Mail!$A69)+LEN(O$2))-FIND(O$2,Mail!$A69)-LEN(O$2)-1)))))</f>
        <v/>
      </c>
      <c r="P71" t="str">
        <f>TRIM(CLEAN(IF(ISERROR(FIND(P$2,Mail!$A69)),"",MID(Mail!$A69,FIND(P$2,Mail!$A69)+LEN(P$2)+1,IF(ISERROR(FIND("■",Mail!$A69,FIND(P$2,Mail!$A69)+LEN(P$2))-FIND(P$2,Mail!$A69)-LEN(P$2)),LEN(Mail!$A69)-60-FIND(P$2,Mail!$A69)-LEN(P$2),FIND("■",Mail!$A69,FIND(P$2,Mail!$A69)+LEN(P$2))-FIND(P$2,Mail!$A69)-LEN(P$2)-1)))))</f>
        <v/>
      </c>
      <c r="Q71" t="str">
        <f>TRIM(CLEAN(IF(ISERROR(FIND(Q$2,Mail!$A69)),"",MID(Mail!$A69,FIND(Q$2,Mail!$A69)+LEN(Q$2)+1,IF(ISERROR(FIND("■",Mail!$A69,FIND(Q$2,Mail!$A69)+LEN(Q$2))-FIND(Q$2,Mail!$A69)-LEN(Q$2)),LEN(Mail!$A69)-60-FIND(Q$2,Mail!$A69)-LEN(Q$2),FIND("■",Mail!$A69,FIND(Q$2,Mail!$A69)+LEN(Q$2))-FIND(Q$2,Mail!$A69)-LEN(Q$2)-1)))))</f>
        <v/>
      </c>
      <c r="R71" s="8" t="str">
        <f>TRIM(CLEAN(IF(ISERROR(FIND(R$2,Mail!$A69)),"",MID(Mail!$A69,FIND(R$2,Mail!$A69)+LEN(R$2)+1,IF(ISERROR(FIND("■",Mail!$A69,FIND(R$2,Mail!$A69)+LEN(R$2))-FIND(R$2,Mail!$A69)-LEN(R$2)),LEN(Mail!$A69)-60-FIND(R$2,Mail!$A69)-LEN(R$2),FIND("■",Mail!$A69,FIND(R$2,Mail!$A69)+LEN(R$2))-FIND(R$2,Mail!$A69)-LEN(R$2)-1)))))</f>
        <v/>
      </c>
      <c r="S71" t="str">
        <f>TRIM(CLEAN(IF(ISERROR(FIND(S$2,Mail!$A69)),"",MID(Mail!$A69,FIND(S$2,Mail!$A69)+LEN(S$2)+1,IF(ISERROR(FIND("■",Mail!$A69,FIND(S$2,Mail!$A69)+LEN(S$2))-FIND(S$2,Mail!$A69)-LEN(S$2)),LEN(Mail!$A69)-60-FIND(S$2,Mail!$A69)-LEN(S$2),FIND("■",Mail!$A69,FIND(S$2,Mail!$A69)+LEN(S$2))-FIND(S$2,Mail!$A69)-LEN(S$2)-1)))))</f>
        <v/>
      </c>
      <c r="T71" t="str">
        <f>TRIM(CLEAN(IF(ISERROR(FIND(T$2,Mail!$A69)),"",MID(Mail!$A69,FIND(T$2,Mail!$A69)+LEN(T$2)+1,IF(ISERROR(FIND("■",Mail!$A69,FIND(T$2,Mail!$A69)+LEN(T$2))-FIND(T$2,Mail!$A69)-LEN(T$2)),LEN(Mail!$A69)-60-FIND(T$2,Mail!$A69)-LEN(T$2),FIND("■",Mail!$A69,FIND(T$2,Mail!$A69)+LEN(T$2))-FIND(T$2,Mail!$A69)-LEN(T$2)-1)))))</f>
        <v/>
      </c>
      <c r="U71" t="str">
        <f>TRIM(CLEAN(IF(ISERROR(FIND(U$2,Mail!$A69)),"",MID(Mail!$A69,FIND(U$2,Mail!$A69)+LEN(U$2)+1,IF(ISERROR(FIND("■",Mail!$A69,FIND(U$2,Mail!$A69)+LEN(U$2))-FIND(U$2,Mail!$A69)-LEN(U$2)),LEN(Mail!$A69)-60-FIND(U$2,Mail!$A69)-LEN(U$2),FIND("■",Mail!$A69,FIND(U$2,Mail!$A69)+LEN(U$2))-FIND(U$2,Mail!$A69)-LEN(U$2)-1)))))</f>
        <v/>
      </c>
      <c r="V71" t="str">
        <f>TRIM(CLEAN(IF(ISERROR(FIND(V$2,Mail!$A69)),"",MID(Mail!$A69,FIND(V$2,Mail!$A69)+LEN(V$2)+1,IF(ISERROR(FIND("■",Mail!$A69,FIND(V$2,Mail!$A69)+LEN(V$2))-FIND(V$2,Mail!$A69)-LEN(V$2)),LEN(Mail!$A69)-60-FIND(V$2,Mail!$A69)-LEN(V$2),FIND("■",Mail!$A69,FIND(V$2,Mail!$A69)+LEN(V$2))-FIND(V$2,Mail!$A69)-LEN(V$2)-1)))))</f>
        <v/>
      </c>
      <c r="W71" t="str">
        <f>TRIM(CLEAN(IF(ISERROR(FIND(W$2,Mail!$A69)),"",MID(Mail!$A69,FIND(W$2,Mail!$A69)+LEN(W$2)+1,IF(ISERROR(FIND("■",Mail!$A69,FIND(W$2,Mail!$A69)+LEN(W$2))-FIND(W$2,Mail!$A69)-LEN(W$2)),LEN(Mail!$A69)-60-FIND(W$2,Mail!$A69)-LEN(W$2),FIND("■",Mail!$A69,FIND(W$2,Mail!$A69)+LEN(W$2))-FIND(W$2,Mail!$A69)-LEN(W$2)-1)))))</f>
        <v/>
      </c>
      <c r="X71" t="str">
        <f>TRIM(IF(ISERROR(FIND(X$2,Mail!$A69)),"",MID(Mail!$A69,FIND(X$2,Mail!$A69)+LEN(X$2)+1,IF(ISERROR(FIND("■",Mail!$A69,FIND(X$2,Mail!$A69)+LEN(X$2))-FIND(X$2,Mail!$A69)-LEN(X$2)),LEN(Mail!$A69)-60-FIND(X$2,Mail!$A69)-LEN(X$2),FIND("■",Mail!$A69,FIND(X$2,Mail!$A69)+LEN(X$2))-FIND(X$2,Mail!$A69)-LEN(X$2)-1))))</f>
        <v/>
      </c>
      <c r="Y71" t="str">
        <f>TRIM(CLEAN(IF(ISERROR(FIND(Y$2,Mail!$A69)),"",MID(Mail!$A69,FIND(Y$2,Mail!$A69)+LEN(Y$2)+1,IF(ISERROR(FIND("■",Mail!$A69,FIND(Y$2,Mail!$A69)+LEN(Y$2))-FIND(Y$2,Mail!$A69)-LEN(Y$2)),LEN(Mail!$A69)-60-FIND(Y$2,Mail!$A69)-LEN(Y$2),FIND("■",Mail!$A69,FIND(Y$2,Mail!$A69)+LEN(Y$2))-FIND(Y$2,Mail!$A69)-LEN(Y$2)-1)))))</f>
        <v/>
      </c>
      <c r="Z71" t="str">
        <f>TRIM(CLEAN(IF(ISERROR(FIND(Z$2,Mail!$A69)),"",MID(Mail!$A69,FIND(Z$2,Mail!$A69)+LEN(Z$2)+1,IF(ISERROR(FIND("■",Mail!$A69,FIND(Z$2,Mail!$A69)+LEN(Z$2))-FIND(Z$2,Mail!$A69)-LEN(Z$2)),LEN(Mail!$A69)-60-FIND(Z$2,Mail!$A69)-LEN(Z$2),FIND("■",Mail!$A69,FIND(Z$2,Mail!$A69)+LEN(Z$2))-FIND(Z$2,Mail!$A69)-LEN(Z$2)-1)))))</f>
        <v/>
      </c>
      <c r="AA71" t="str">
        <f>TRIM(CLEAN(IF(ISERROR(FIND(AA$2,Mail!$A69)),"",MID(Mail!$A69,FIND(AA$2,Mail!$A69)+LEN(AA$2)+1,IF(ISERROR(FIND("■",Mail!$A69,FIND(AA$2,Mail!$A69)+LEN(AA$2))-FIND(AA$2,Mail!$A69)-LEN(AA$2)),LEN(Mail!$A69)-60-FIND(AA$2,Mail!$A69)-LEN(AA$2),FIND("■",Mail!$A69,FIND(AA$2,Mail!$A69)+LEN(AA$2))-FIND(AA$2,Mail!$A69)-LEN(AA$2)-1)))))</f>
        <v/>
      </c>
      <c r="AB71" t="str">
        <f>TRIM(CLEAN(IF(ISERROR(FIND(AB$2,Mail!$A69)),"",MID(Mail!$A69,FIND(AB$2,Mail!$A69)+LEN(AB$2)+1,IF(ISERROR(FIND("■",Mail!$A69,FIND(AB$2,Mail!$A69)+LEN(AB$2))-FIND(AB$2,Mail!$A69)-LEN(AB$2)),LEN(Mail!$A69)-60-FIND(AB$2,Mail!$A69)-LEN(AB$2),FIND("■",Mail!$A69,FIND(AB$2,Mail!$A69)+LEN(AB$2))-FIND(AB$2,Mail!$A69)-LEN(AB$2)-1)))))</f>
        <v/>
      </c>
      <c r="AC71" s="8" t="str">
        <f>TRIM(CLEAN(IF(ISERROR(FIND(AC$2,Mail!$A69)),"",MID(Mail!$A69,FIND(AC$2,Mail!$A69)+LEN(AC$2)+1,IF(ISERROR(FIND("■",Mail!$A69,FIND(AC$2,Mail!$A69)+LEN(AC$2))-FIND(AC$2,Mail!$A69)-LEN(AC$2)),LEN(Mail!$A69)-60-FIND(AC$2,Mail!$A69)-LEN(AC$2),FIND("■",Mail!$A69,FIND(AC$2,Mail!$A69)+LEN(AC$2))-FIND(AC$2,Mail!$A69)-LEN(AC$2)-1)))))</f>
        <v/>
      </c>
      <c r="AD71" t="str">
        <f>TRIM(CLEAN(IF(ISERROR(FIND(AD$2,Mail!$A69)),"",MID(Mail!$A69,FIND(AD$2,Mail!$A69)+LEN(AD$2)+1,IF(ISERROR(FIND("■",Mail!$A69,FIND(AD$2,Mail!$A69)+LEN(AD$2))-FIND(AD$2,Mail!$A69)-LEN(AD$2)),LEN(Mail!$A69)-60-FIND(AD$2,Mail!$A69)-LEN(AD$2),FIND("■",Mail!$A69,FIND(AD$2,Mail!$A69)+LEN(AD$2))-FIND(AD$2,Mail!$A69)-LEN(AD$2)-1)))))</f>
        <v/>
      </c>
      <c r="AE71" t="str">
        <f>TRIM(CLEAN(IF(ISERROR(FIND(AE$2,Mail!$A69)),"",MID(Mail!$A69,FIND(AE$2,Mail!$A69)+LEN(AE$2)+1,IF(ISERROR(FIND("■",Mail!$A69,FIND(AE$2,Mail!$A69)+LEN(AE$2))-FIND(AE$2,Mail!$A69)-LEN(AE$2)),LEN(Mail!$A69)-60-FIND(AE$2,Mail!$A69)-LEN(AE$2),FIND("■",Mail!$A69,FIND(AE$2,Mail!$A69)+LEN(AE$2))-FIND(AE$2,Mail!$A69)-LEN(AE$2)-1)))))</f>
        <v/>
      </c>
      <c r="AF71" t="str">
        <f>TRIM(CLEAN(IF(ISERROR(FIND(AF$2,Mail!$A69)),"",MID(Mail!$A69,FIND(AF$2,Mail!$A69)+LEN(AF$2)+1,IF(ISERROR(FIND("■",Mail!$A69,FIND(AF$2,Mail!$A69)+LEN(AF$2))-FIND(AF$2,Mail!$A69)-LEN(AF$2)),LEN(Mail!$A69)-60-FIND(AF$2,Mail!$A69)-LEN(AF$2),FIND("■",Mail!$A69,FIND(AF$2,Mail!$A69)+LEN(AF$2))-FIND(AF$2,Mail!$A69)-LEN(AF$2)-1)))))</f>
        <v/>
      </c>
      <c r="AG71" t="str">
        <f>TRIM(IF(ISERROR(FIND(AG$2,Mail!$A69)),"",MID(Mail!$A69,FIND(AG$2,Mail!$A69)+LEN(AG$2)+1,IF(ISERROR(FIND("■",Mail!$A69,FIND(AG$2,Mail!$A69)+LEN(AG$2))-FIND(AG$2,Mail!$A69)-LEN(AG$2)),LEN(Mail!$A69)-60-FIND(AG$2,Mail!$A69)-LEN(AG$2),FIND("■",Mail!$A69,FIND(AG$2,Mail!$A69)+LEN(AG$2))-FIND(AG$2,Mail!$A69)-LEN(AG$2)-1))))</f>
        <v/>
      </c>
      <c r="AH71" t="str">
        <f>TRIM(IF(ISERROR(FIND(AH$2,Mail!$A69)),"",MID(Mail!$A69,FIND(AH$2,Mail!$A69)+LEN(AH$2)+1,IF(ISERROR(FIND("■",Mail!$A69,FIND(AH$2,Mail!$A69)+LEN(AH$2))-FIND(AH$2,Mail!$A69)-LEN(AH$2)),LEN(Mail!$A69)-60-FIND(AH$2,Mail!$A69)-LEN(AH$2),FIND("■",Mail!$A69,FIND(AH$2,Mail!$A69)+LEN(AH$2))-FIND(AH$2,Mail!$A69)-LEN(AH$2)-1))))</f>
        <v/>
      </c>
      <c r="AI71" t="str">
        <f>TRIM(IF(ISERROR(FIND(AI$2,Mail!$A69)),"",MID(Mail!$A69,FIND(AI$2,Mail!$A69)+LEN(AI$2)+1,IF(ISERROR(FIND("■",Mail!$A69,FIND(AI$2,Mail!$A69)+LEN(AI$2))-FIND(AI$2,Mail!$A69)-LEN(AI$2)),LEN(Mail!$A69)-60-FIND(AI$2,Mail!$A69)-LEN(AI$2),FIND("■",Mail!$A69,FIND(AI$2,Mail!$A69)+LEN(AI$2))-FIND(AI$2,Mail!$A69)-LEN(AI$2)-1))))</f>
        <v/>
      </c>
    </row>
    <row r="72" spans="1:35" x14ac:dyDescent="0.15">
      <c r="A72" s="9" t="str">
        <f t="shared" si="6"/>
        <v/>
      </c>
      <c r="B72" s="8" t="str">
        <f>CLEAN(SUBSTITUTE(IF(ISERROR(FIND("yokohama",Mail!$A70)),"",MID(Mail!$A70,FIND("yokohama",Mail!$A70)+LEN("yokohama")+1,FIND("件目",Mail!$A70,FIND("yokohama",Mail!$A70))-(FIND("yokohama",Mail!$A70)+LEN("yokohama")+1)))," ",""))</f>
        <v/>
      </c>
      <c r="C72" s="2" t="str">
        <f t="shared" si="5"/>
        <v/>
      </c>
      <c r="D72" s="9" t="str">
        <f t="shared" si="7"/>
        <v/>
      </c>
      <c r="E72" s="8" t="str">
        <f t="shared" si="8"/>
        <v/>
      </c>
      <c r="F72" t="str">
        <f>TRIM(CLEAN(IF(ISERROR(FIND(F$2,Mail!$A70)),"",MID(Mail!$A70,FIND(F$2,Mail!$A70)+LEN(F$2)+1,IF(ISERROR(FIND("■",Mail!$A70,FIND(F$2,Mail!$A70)+LEN(F$2))-FIND(F$2,Mail!$A70)-LEN(F$2)),LEN(Mail!$A70)-60-FIND(F$2,Mail!$A70)-LEN(F$2),FIND("■",Mail!$A70,FIND(F$2,Mail!$A70)+LEN(F$2))-FIND(F$2,Mail!$A70)-LEN(F$2)-1)))))</f>
        <v/>
      </c>
      <c r="G72" t="str">
        <f>TRIM(CLEAN(IF(ISERROR(FIND(G$2,Mail!$A70)),"",MID(Mail!$A70,FIND(G$2,Mail!$A70)+LEN(G$2)+1,IF(ISERROR(FIND("■",Mail!$A70,FIND(G$2,Mail!$A70)+LEN(G$2))-FIND(G$2,Mail!$A70)-LEN(G$2)),LEN(Mail!$A70)-60-FIND(G$2,Mail!$A70)-LEN(G$2),FIND("■",Mail!$A70,FIND(G$2,Mail!$A70)+LEN(G$2))-FIND(G$2,Mail!$A70)-LEN(G$2)-1)))))</f>
        <v/>
      </c>
      <c r="H72" s="8" t="str">
        <f>TRIM(CLEAN(IF(ISERROR(FIND(H$2,Mail!$A70)),"",MID(Mail!$A70,FIND(H$2,Mail!$A70)+LEN(H$2)+1,IF(ISERROR(FIND("■",Mail!$A70,FIND(H$2,Mail!$A70)+LEN(H$2))-FIND(H$2,Mail!$A70)-LEN(H$2)),LEN(Mail!$A70)-60-FIND(H$2,Mail!$A70)-LEN(H$2),FIND("■",Mail!$A70,FIND(H$2,Mail!$A70)+LEN(H$2))-FIND(H$2,Mail!$A70)-LEN(H$2)-1)))))</f>
        <v/>
      </c>
      <c r="I72" t="str">
        <f>TRIM(CLEAN(IF(ISERROR(FIND(I$2,Mail!$A70)),"",MID(Mail!$A70,FIND(I$2,Mail!$A70)+LEN(I$2)+1,IF(ISERROR(FIND("■",Mail!$A70,FIND(I$2,Mail!$A70)+LEN(I$2))-FIND(I$2,Mail!$A70)-LEN(I$2)),LEN(Mail!$A70)-60-FIND(I$2,Mail!$A70)-LEN(I$2),FIND("■",Mail!$A70,FIND(I$2,Mail!$A70)+LEN(I$2))-FIND(I$2,Mail!$A70)-LEN(I$2)-1)))))</f>
        <v/>
      </c>
      <c r="J72" t="str">
        <f>TRIM(IF(ISERROR(FIND(J$2,Mail!$A70)),"",MID(Mail!$A70,FIND(J$2,Mail!$A70)+LEN(J$2)+1,IF(ISERROR(FIND("■",Mail!$A70,FIND(J$2,Mail!$A70)+LEN(J$2))-FIND(J$2,Mail!$A70)-LEN(J$2)),LEN(Mail!$A70)-60-FIND(J$2,Mail!$A70)-LEN(J$2),FIND("■",Mail!$A70,FIND(J$2,Mail!$A70)+LEN(J$2))-FIND(J$2,Mail!$A70)-LEN(J$2)-1))))</f>
        <v/>
      </c>
      <c r="K72" t="str">
        <f>TRIM(IF(ISERROR(FIND(K$2,Mail!$A70)),"",MID(Mail!$A70,FIND(K$2,Mail!$A70)+LEN(K$2)+1,IF(ISERROR(FIND("■",Mail!$A70,FIND(K$2,Mail!$A70)+LEN(K$2))-FIND(K$2,Mail!$A70)-LEN(K$2)),LEN(Mail!$A70)-60-FIND(K$2,Mail!$A70)-LEN(K$2),FIND("■",Mail!$A70,FIND(K$2,Mail!$A70)+LEN(K$2))-FIND(K$2,Mail!$A70)-LEN(K$2)-1))))</f>
        <v/>
      </c>
      <c r="L72" t="str">
        <f>TRIM(IF(ISERROR(FIND(L$2,Mail!$A70)),"",MID(Mail!$A70,FIND(L$2,Mail!$A70)+LEN(L$2)+1,IF(ISERROR(FIND("■",Mail!$A70,FIND(L$2,Mail!$A70)+LEN(L$2))-FIND(L$2,Mail!$A70)-LEN(L$2)),LEN(Mail!$A70)-60-FIND(L$2,Mail!$A70)-LEN(L$2),FIND("■",Mail!$A70,FIND(L$2,Mail!$A70)+LEN(L$2))-FIND(L$2,Mail!$A70)-LEN(L$2)-1))))</f>
        <v/>
      </c>
      <c r="M72" t="str">
        <f>TRIM(CLEAN(IF(ISERROR(FIND(M$2,Mail!$A70)),"",MID(Mail!$A70,FIND(M$2,Mail!$A70)+LEN(M$2)+1,IF(ISERROR(FIND("■",Mail!$A70,FIND(M$2,Mail!$A70)+LEN(M$2))-FIND(M$2,Mail!$A70)-LEN(M$2)),LEN(Mail!$A70)-60-FIND(M$2,Mail!$A70)-LEN(M$2),FIND("■",Mail!$A70,FIND(M$2,Mail!$A70)+LEN(M$2))-FIND(M$2,Mail!$A70)-LEN(M$2)-1)))))</f>
        <v/>
      </c>
      <c r="N72" t="str">
        <f>TRIM(CLEAN(IF(ISERROR(FIND(N$2,Mail!$A70)),"",MID(Mail!$A70,FIND(N$2,Mail!$A70)+LEN(N$2)+1,IF(ISERROR(FIND("■",Mail!$A70,FIND(N$2,Mail!$A70)+LEN(N$2))-FIND(N$2,Mail!$A70)-LEN(N$2)),LEN(Mail!$A70)-60-FIND(N$2,Mail!$A70)-LEN(N$2),FIND("■",Mail!$A70,FIND(N$2,Mail!$A70)+LEN(N$2))-FIND(N$2,Mail!$A70)-LEN(N$2)-1)))))</f>
        <v/>
      </c>
      <c r="O72" t="str">
        <f>TRIM(CLEAN(IF(ISERROR(FIND(O$2,Mail!$A70)),"",MID(Mail!$A70,FIND(O$2,Mail!$A70)+LEN(O$2)+1,IF(ISERROR(FIND("■",Mail!$A70,FIND(O$2,Mail!$A70)+LEN(O$2))-FIND(O$2,Mail!$A70)-LEN(O$2)),LEN(Mail!$A70)-60-FIND(O$2,Mail!$A70)-LEN(O$2),FIND("■",Mail!$A70,FIND(O$2,Mail!$A70)+LEN(O$2))-FIND(O$2,Mail!$A70)-LEN(O$2)-1)))))</f>
        <v/>
      </c>
      <c r="P72" t="str">
        <f>TRIM(CLEAN(IF(ISERROR(FIND(P$2,Mail!$A70)),"",MID(Mail!$A70,FIND(P$2,Mail!$A70)+LEN(P$2)+1,IF(ISERROR(FIND("■",Mail!$A70,FIND(P$2,Mail!$A70)+LEN(P$2))-FIND(P$2,Mail!$A70)-LEN(P$2)),LEN(Mail!$A70)-60-FIND(P$2,Mail!$A70)-LEN(P$2),FIND("■",Mail!$A70,FIND(P$2,Mail!$A70)+LEN(P$2))-FIND(P$2,Mail!$A70)-LEN(P$2)-1)))))</f>
        <v/>
      </c>
      <c r="Q72" t="str">
        <f>TRIM(CLEAN(IF(ISERROR(FIND(Q$2,Mail!$A70)),"",MID(Mail!$A70,FIND(Q$2,Mail!$A70)+LEN(Q$2)+1,IF(ISERROR(FIND("■",Mail!$A70,FIND(Q$2,Mail!$A70)+LEN(Q$2))-FIND(Q$2,Mail!$A70)-LEN(Q$2)),LEN(Mail!$A70)-60-FIND(Q$2,Mail!$A70)-LEN(Q$2),FIND("■",Mail!$A70,FIND(Q$2,Mail!$A70)+LEN(Q$2))-FIND(Q$2,Mail!$A70)-LEN(Q$2)-1)))))</f>
        <v/>
      </c>
      <c r="R72" s="8" t="str">
        <f>TRIM(CLEAN(IF(ISERROR(FIND(R$2,Mail!$A70)),"",MID(Mail!$A70,FIND(R$2,Mail!$A70)+LEN(R$2)+1,IF(ISERROR(FIND("■",Mail!$A70,FIND(R$2,Mail!$A70)+LEN(R$2))-FIND(R$2,Mail!$A70)-LEN(R$2)),LEN(Mail!$A70)-60-FIND(R$2,Mail!$A70)-LEN(R$2),FIND("■",Mail!$A70,FIND(R$2,Mail!$A70)+LEN(R$2))-FIND(R$2,Mail!$A70)-LEN(R$2)-1)))))</f>
        <v/>
      </c>
      <c r="S72" t="str">
        <f>TRIM(CLEAN(IF(ISERROR(FIND(S$2,Mail!$A70)),"",MID(Mail!$A70,FIND(S$2,Mail!$A70)+LEN(S$2)+1,IF(ISERROR(FIND("■",Mail!$A70,FIND(S$2,Mail!$A70)+LEN(S$2))-FIND(S$2,Mail!$A70)-LEN(S$2)),LEN(Mail!$A70)-60-FIND(S$2,Mail!$A70)-LEN(S$2),FIND("■",Mail!$A70,FIND(S$2,Mail!$A70)+LEN(S$2))-FIND(S$2,Mail!$A70)-LEN(S$2)-1)))))</f>
        <v/>
      </c>
      <c r="T72" t="str">
        <f>TRIM(CLEAN(IF(ISERROR(FIND(T$2,Mail!$A70)),"",MID(Mail!$A70,FIND(T$2,Mail!$A70)+LEN(T$2)+1,IF(ISERROR(FIND("■",Mail!$A70,FIND(T$2,Mail!$A70)+LEN(T$2))-FIND(T$2,Mail!$A70)-LEN(T$2)),LEN(Mail!$A70)-60-FIND(T$2,Mail!$A70)-LEN(T$2),FIND("■",Mail!$A70,FIND(T$2,Mail!$A70)+LEN(T$2))-FIND(T$2,Mail!$A70)-LEN(T$2)-1)))))</f>
        <v/>
      </c>
      <c r="U72" t="str">
        <f>TRIM(CLEAN(IF(ISERROR(FIND(U$2,Mail!$A70)),"",MID(Mail!$A70,FIND(U$2,Mail!$A70)+LEN(U$2)+1,IF(ISERROR(FIND("■",Mail!$A70,FIND(U$2,Mail!$A70)+LEN(U$2))-FIND(U$2,Mail!$A70)-LEN(U$2)),LEN(Mail!$A70)-60-FIND(U$2,Mail!$A70)-LEN(U$2),FIND("■",Mail!$A70,FIND(U$2,Mail!$A70)+LEN(U$2))-FIND(U$2,Mail!$A70)-LEN(U$2)-1)))))</f>
        <v/>
      </c>
      <c r="V72" t="str">
        <f>TRIM(CLEAN(IF(ISERROR(FIND(V$2,Mail!$A70)),"",MID(Mail!$A70,FIND(V$2,Mail!$A70)+LEN(V$2)+1,IF(ISERROR(FIND("■",Mail!$A70,FIND(V$2,Mail!$A70)+LEN(V$2))-FIND(V$2,Mail!$A70)-LEN(V$2)),LEN(Mail!$A70)-60-FIND(V$2,Mail!$A70)-LEN(V$2),FIND("■",Mail!$A70,FIND(V$2,Mail!$A70)+LEN(V$2))-FIND(V$2,Mail!$A70)-LEN(V$2)-1)))))</f>
        <v/>
      </c>
      <c r="W72" t="str">
        <f>TRIM(CLEAN(IF(ISERROR(FIND(W$2,Mail!$A70)),"",MID(Mail!$A70,FIND(W$2,Mail!$A70)+LEN(W$2)+1,IF(ISERROR(FIND("■",Mail!$A70,FIND(W$2,Mail!$A70)+LEN(W$2))-FIND(W$2,Mail!$A70)-LEN(W$2)),LEN(Mail!$A70)-60-FIND(W$2,Mail!$A70)-LEN(W$2),FIND("■",Mail!$A70,FIND(W$2,Mail!$A70)+LEN(W$2))-FIND(W$2,Mail!$A70)-LEN(W$2)-1)))))</f>
        <v/>
      </c>
      <c r="X72" t="str">
        <f>TRIM(IF(ISERROR(FIND(X$2,Mail!$A70)),"",MID(Mail!$A70,FIND(X$2,Mail!$A70)+LEN(X$2)+1,IF(ISERROR(FIND("■",Mail!$A70,FIND(X$2,Mail!$A70)+LEN(X$2))-FIND(X$2,Mail!$A70)-LEN(X$2)),LEN(Mail!$A70)-60-FIND(X$2,Mail!$A70)-LEN(X$2),FIND("■",Mail!$A70,FIND(X$2,Mail!$A70)+LEN(X$2))-FIND(X$2,Mail!$A70)-LEN(X$2)-1))))</f>
        <v/>
      </c>
      <c r="Y72" t="str">
        <f>TRIM(CLEAN(IF(ISERROR(FIND(Y$2,Mail!$A70)),"",MID(Mail!$A70,FIND(Y$2,Mail!$A70)+LEN(Y$2)+1,IF(ISERROR(FIND("■",Mail!$A70,FIND(Y$2,Mail!$A70)+LEN(Y$2))-FIND(Y$2,Mail!$A70)-LEN(Y$2)),LEN(Mail!$A70)-60-FIND(Y$2,Mail!$A70)-LEN(Y$2),FIND("■",Mail!$A70,FIND(Y$2,Mail!$A70)+LEN(Y$2))-FIND(Y$2,Mail!$A70)-LEN(Y$2)-1)))))</f>
        <v/>
      </c>
      <c r="Z72" t="str">
        <f>TRIM(CLEAN(IF(ISERROR(FIND(Z$2,Mail!$A70)),"",MID(Mail!$A70,FIND(Z$2,Mail!$A70)+LEN(Z$2)+1,IF(ISERROR(FIND("■",Mail!$A70,FIND(Z$2,Mail!$A70)+LEN(Z$2))-FIND(Z$2,Mail!$A70)-LEN(Z$2)),LEN(Mail!$A70)-60-FIND(Z$2,Mail!$A70)-LEN(Z$2),FIND("■",Mail!$A70,FIND(Z$2,Mail!$A70)+LEN(Z$2))-FIND(Z$2,Mail!$A70)-LEN(Z$2)-1)))))</f>
        <v/>
      </c>
      <c r="AA72" t="str">
        <f>TRIM(CLEAN(IF(ISERROR(FIND(AA$2,Mail!$A70)),"",MID(Mail!$A70,FIND(AA$2,Mail!$A70)+LEN(AA$2)+1,IF(ISERROR(FIND("■",Mail!$A70,FIND(AA$2,Mail!$A70)+LEN(AA$2))-FIND(AA$2,Mail!$A70)-LEN(AA$2)),LEN(Mail!$A70)-60-FIND(AA$2,Mail!$A70)-LEN(AA$2),FIND("■",Mail!$A70,FIND(AA$2,Mail!$A70)+LEN(AA$2))-FIND(AA$2,Mail!$A70)-LEN(AA$2)-1)))))</f>
        <v/>
      </c>
      <c r="AB72" t="str">
        <f>TRIM(CLEAN(IF(ISERROR(FIND(AB$2,Mail!$A70)),"",MID(Mail!$A70,FIND(AB$2,Mail!$A70)+LEN(AB$2)+1,IF(ISERROR(FIND("■",Mail!$A70,FIND(AB$2,Mail!$A70)+LEN(AB$2))-FIND(AB$2,Mail!$A70)-LEN(AB$2)),LEN(Mail!$A70)-60-FIND(AB$2,Mail!$A70)-LEN(AB$2),FIND("■",Mail!$A70,FIND(AB$2,Mail!$A70)+LEN(AB$2))-FIND(AB$2,Mail!$A70)-LEN(AB$2)-1)))))</f>
        <v/>
      </c>
      <c r="AC72" s="8" t="str">
        <f>TRIM(CLEAN(IF(ISERROR(FIND(AC$2,Mail!$A70)),"",MID(Mail!$A70,FIND(AC$2,Mail!$A70)+LEN(AC$2)+1,IF(ISERROR(FIND("■",Mail!$A70,FIND(AC$2,Mail!$A70)+LEN(AC$2))-FIND(AC$2,Mail!$A70)-LEN(AC$2)),LEN(Mail!$A70)-60-FIND(AC$2,Mail!$A70)-LEN(AC$2),FIND("■",Mail!$A70,FIND(AC$2,Mail!$A70)+LEN(AC$2))-FIND(AC$2,Mail!$A70)-LEN(AC$2)-1)))))</f>
        <v/>
      </c>
      <c r="AD72" t="str">
        <f>TRIM(CLEAN(IF(ISERROR(FIND(AD$2,Mail!$A70)),"",MID(Mail!$A70,FIND(AD$2,Mail!$A70)+LEN(AD$2)+1,IF(ISERROR(FIND("■",Mail!$A70,FIND(AD$2,Mail!$A70)+LEN(AD$2))-FIND(AD$2,Mail!$A70)-LEN(AD$2)),LEN(Mail!$A70)-60-FIND(AD$2,Mail!$A70)-LEN(AD$2),FIND("■",Mail!$A70,FIND(AD$2,Mail!$A70)+LEN(AD$2))-FIND(AD$2,Mail!$A70)-LEN(AD$2)-1)))))</f>
        <v/>
      </c>
      <c r="AE72" t="str">
        <f>TRIM(CLEAN(IF(ISERROR(FIND(AE$2,Mail!$A70)),"",MID(Mail!$A70,FIND(AE$2,Mail!$A70)+LEN(AE$2)+1,IF(ISERROR(FIND("■",Mail!$A70,FIND(AE$2,Mail!$A70)+LEN(AE$2))-FIND(AE$2,Mail!$A70)-LEN(AE$2)),LEN(Mail!$A70)-60-FIND(AE$2,Mail!$A70)-LEN(AE$2),FIND("■",Mail!$A70,FIND(AE$2,Mail!$A70)+LEN(AE$2))-FIND(AE$2,Mail!$A70)-LEN(AE$2)-1)))))</f>
        <v/>
      </c>
      <c r="AF72" t="str">
        <f>TRIM(CLEAN(IF(ISERROR(FIND(AF$2,Mail!$A70)),"",MID(Mail!$A70,FIND(AF$2,Mail!$A70)+LEN(AF$2)+1,IF(ISERROR(FIND("■",Mail!$A70,FIND(AF$2,Mail!$A70)+LEN(AF$2))-FIND(AF$2,Mail!$A70)-LEN(AF$2)),LEN(Mail!$A70)-60-FIND(AF$2,Mail!$A70)-LEN(AF$2),FIND("■",Mail!$A70,FIND(AF$2,Mail!$A70)+LEN(AF$2))-FIND(AF$2,Mail!$A70)-LEN(AF$2)-1)))))</f>
        <v/>
      </c>
      <c r="AG72" t="str">
        <f>TRIM(IF(ISERROR(FIND(AG$2,Mail!$A70)),"",MID(Mail!$A70,FIND(AG$2,Mail!$A70)+LEN(AG$2)+1,IF(ISERROR(FIND("■",Mail!$A70,FIND(AG$2,Mail!$A70)+LEN(AG$2))-FIND(AG$2,Mail!$A70)-LEN(AG$2)),LEN(Mail!$A70)-60-FIND(AG$2,Mail!$A70)-LEN(AG$2),FIND("■",Mail!$A70,FIND(AG$2,Mail!$A70)+LEN(AG$2))-FIND(AG$2,Mail!$A70)-LEN(AG$2)-1))))</f>
        <v/>
      </c>
      <c r="AH72" t="str">
        <f>TRIM(IF(ISERROR(FIND(AH$2,Mail!$A70)),"",MID(Mail!$A70,FIND(AH$2,Mail!$A70)+LEN(AH$2)+1,IF(ISERROR(FIND("■",Mail!$A70,FIND(AH$2,Mail!$A70)+LEN(AH$2))-FIND(AH$2,Mail!$A70)-LEN(AH$2)),LEN(Mail!$A70)-60-FIND(AH$2,Mail!$A70)-LEN(AH$2),FIND("■",Mail!$A70,FIND(AH$2,Mail!$A70)+LEN(AH$2))-FIND(AH$2,Mail!$A70)-LEN(AH$2)-1))))</f>
        <v/>
      </c>
      <c r="AI72" t="str">
        <f>TRIM(IF(ISERROR(FIND(AI$2,Mail!$A70)),"",MID(Mail!$A70,FIND(AI$2,Mail!$A70)+LEN(AI$2)+1,IF(ISERROR(FIND("■",Mail!$A70,FIND(AI$2,Mail!$A70)+LEN(AI$2))-FIND(AI$2,Mail!$A70)-LEN(AI$2)),LEN(Mail!$A70)-60-FIND(AI$2,Mail!$A70)-LEN(AI$2),FIND("■",Mail!$A70,FIND(AI$2,Mail!$A70)+LEN(AI$2))-FIND(AI$2,Mail!$A70)-LEN(AI$2)-1))))</f>
        <v/>
      </c>
    </row>
    <row r="73" spans="1:35" x14ac:dyDescent="0.15">
      <c r="A73" s="9" t="str">
        <f t="shared" si="6"/>
        <v/>
      </c>
      <c r="B73" s="8" t="str">
        <f>CLEAN(SUBSTITUTE(IF(ISERROR(FIND("yokohama",Mail!$A71)),"",MID(Mail!$A71,FIND("yokohama",Mail!$A71)+LEN("yokohama")+1,FIND("件目",Mail!$A71,FIND("yokohama",Mail!$A71))-(FIND("yokohama",Mail!$A71)+LEN("yokohama")+1)))," ",""))</f>
        <v/>
      </c>
      <c r="C73" s="2" t="str">
        <f t="shared" si="5"/>
        <v/>
      </c>
      <c r="D73" s="9" t="str">
        <f t="shared" si="7"/>
        <v/>
      </c>
      <c r="E73" s="8" t="str">
        <f t="shared" si="8"/>
        <v/>
      </c>
      <c r="F73" t="str">
        <f>TRIM(CLEAN(IF(ISERROR(FIND(F$2,Mail!$A71)),"",MID(Mail!$A71,FIND(F$2,Mail!$A71)+LEN(F$2)+1,IF(ISERROR(FIND("■",Mail!$A71,FIND(F$2,Mail!$A71)+LEN(F$2))-FIND(F$2,Mail!$A71)-LEN(F$2)),LEN(Mail!$A71)-60-FIND(F$2,Mail!$A71)-LEN(F$2),FIND("■",Mail!$A71,FIND(F$2,Mail!$A71)+LEN(F$2))-FIND(F$2,Mail!$A71)-LEN(F$2)-1)))))</f>
        <v/>
      </c>
      <c r="G73" t="str">
        <f>TRIM(CLEAN(IF(ISERROR(FIND(G$2,Mail!$A71)),"",MID(Mail!$A71,FIND(G$2,Mail!$A71)+LEN(G$2)+1,IF(ISERROR(FIND("■",Mail!$A71,FIND(G$2,Mail!$A71)+LEN(G$2))-FIND(G$2,Mail!$A71)-LEN(G$2)),LEN(Mail!$A71)-60-FIND(G$2,Mail!$A71)-LEN(G$2),FIND("■",Mail!$A71,FIND(G$2,Mail!$A71)+LEN(G$2))-FIND(G$2,Mail!$A71)-LEN(G$2)-1)))))</f>
        <v/>
      </c>
      <c r="H73" s="8" t="str">
        <f>TRIM(CLEAN(IF(ISERROR(FIND(H$2,Mail!$A71)),"",MID(Mail!$A71,FIND(H$2,Mail!$A71)+LEN(H$2)+1,IF(ISERROR(FIND("■",Mail!$A71,FIND(H$2,Mail!$A71)+LEN(H$2))-FIND(H$2,Mail!$A71)-LEN(H$2)),LEN(Mail!$A71)-60-FIND(H$2,Mail!$A71)-LEN(H$2),FIND("■",Mail!$A71,FIND(H$2,Mail!$A71)+LEN(H$2))-FIND(H$2,Mail!$A71)-LEN(H$2)-1)))))</f>
        <v/>
      </c>
      <c r="I73" t="str">
        <f>TRIM(CLEAN(IF(ISERROR(FIND(I$2,Mail!$A71)),"",MID(Mail!$A71,FIND(I$2,Mail!$A71)+LEN(I$2)+1,IF(ISERROR(FIND("■",Mail!$A71,FIND(I$2,Mail!$A71)+LEN(I$2))-FIND(I$2,Mail!$A71)-LEN(I$2)),LEN(Mail!$A71)-60-FIND(I$2,Mail!$A71)-LEN(I$2),FIND("■",Mail!$A71,FIND(I$2,Mail!$A71)+LEN(I$2))-FIND(I$2,Mail!$A71)-LEN(I$2)-1)))))</f>
        <v/>
      </c>
      <c r="J73" t="str">
        <f>TRIM(IF(ISERROR(FIND(J$2,Mail!$A71)),"",MID(Mail!$A71,FIND(J$2,Mail!$A71)+LEN(J$2)+1,IF(ISERROR(FIND("■",Mail!$A71,FIND(J$2,Mail!$A71)+LEN(J$2))-FIND(J$2,Mail!$A71)-LEN(J$2)),LEN(Mail!$A71)-60-FIND(J$2,Mail!$A71)-LEN(J$2),FIND("■",Mail!$A71,FIND(J$2,Mail!$A71)+LEN(J$2))-FIND(J$2,Mail!$A71)-LEN(J$2)-1))))</f>
        <v/>
      </c>
      <c r="K73" t="str">
        <f>TRIM(IF(ISERROR(FIND(K$2,Mail!$A71)),"",MID(Mail!$A71,FIND(K$2,Mail!$A71)+LEN(K$2)+1,IF(ISERROR(FIND("■",Mail!$A71,FIND(K$2,Mail!$A71)+LEN(K$2))-FIND(K$2,Mail!$A71)-LEN(K$2)),LEN(Mail!$A71)-60-FIND(K$2,Mail!$A71)-LEN(K$2),FIND("■",Mail!$A71,FIND(K$2,Mail!$A71)+LEN(K$2))-FIND(K$2,Mail!$A71)-LEN(K$2)-1))))</f>
        <v/>
      </c>
      <c r="L73" t="str">
        <f>TRIM(IF(ISERROR(FIND(L$2,Mail!$A71)),"",MID(Mail!$A71,FIND(L$2,Mail!$A71)+LEN(L$2)+1,IF(ISERROR(FIND("■",Mail!$A71,FIND(L$2,Mail!$A71)+LEN(L$2))-FIND(L$2,Mail!$A71)-LEN(L$2)),LEN(Mail!$A71)-60-FIND(L$2,Mail!$A71)-LEN(L$2),FIND("■",Mail!$A71,FIND(L$2,Mail!$A71)+LEN(L$2))-FIND(L$2,Mail!$A71)-LEN(L$2)-1))))</f>
        <v/>
      </c>
      <c r="M73" t="str">
        <f>TRIM(CLEAN(IF(ISERROR(FIND(M$2,Mail!$A71)),"",MID(Mail!$A71,FIND(M$2,Mail!$A71)+LEN(M$2)+1,IF(ISERROR(FIND("■",Mail!$A71,FIND(M$2,Mail!$A71)+LEN(M$2))-FIND(M$2,Mail!$A71)-LEN(M$2)),LEN(Mail!$A71)-60-FIND(M$2,Mail!$A71)-LEN(M$2),FIND("■",Mail!$A71,FIND(M$2,Mail!$A71)+LEN(M$2))-FIND(M$2,Mail!$A71)-LEN(M$2)-1)))))</f>
        <v/>
      </c>
      <c r="N73" t="str">
        <f>TRIM(CLEAN(IF(ISERROR(FIND(N$2,Mail!$A71)),"",MID(Mail!$A71,FIND(N$2,Mail!$A71)+LEN(N$2)+1,IF(ISERROR(FIND("■",Mail!$A71,FIND(N$2,Mail!$A71)+LEN(N$2))-FIND(N$2,Mail!$A71)-LEN(N$2)),LEN(Mail!$A71)-60-FIND(N$2,Mail!$A71)-LEN(N$2),FIND("■",Mail!$A71,FIND(N$2,Mail!$A71)+LEN(N$2))-FIND(N$2,Mail!$A71)-LEN(N$2)-1)))))</f>
        <v/>
      </c>
      <c r="O73" t="str">
        <f>TRIM(CLEAN(IF(ISERROR(FIND(O$2,Mail!$A71)),"",MID(Mail!$A71,FIND(O$2,Mail!$A71)+LEN(O$2)+1,IF(ISERROR(FIND("■",Mail!$A71,FIND(O$2,Mail!$A71)+LEN(O$2))-FIND(O$2,Mail!$A71)-LEN(O$2)),LEN(Mail!$A71)-60-FIND(O$2,Mail!$A71)-LEN(O$2),FIND("■",Mail!$A71,FIND(O$2,Mail!$A71)+LEN(O$2))-FIND(O$2,Mail!$A71)-LEN(O$2)-1)))))</f>
        <v/>
      </c>
      <c r="P73" t="str">
        <f>TRIM(CLEAN(IF(ISERROR(FIND(P$2,Mail!$A71)),"",MID(Mail!$A71,FIND(P$2,Mail!$A71)+LEN(P$2)+1,IF(ISERROR(FIND("■",Mail!$A71,FIND(P$2,Mail!$A71)+LEN(P$2))-FIND(P$2,Mail!$A71)-LEN(P$2)),LEN(Mail!$A71)-60-FIND(P$2,Mail!$A71)-LEN(P$2),FIND("■",Mail!$A71,FIND(P$2,Mail!$A71)+LEN(P$2))-FIND(P$2,Mail!$A71)-LEN(P$2)-1)))))</f>
        <v/>
      </c>
      <c r="Q73" t="str">
        <f>TRIM(CLEAN(IF(ISERROR(FIND(Q$2,Mail!$A71)),"",MID(Mail!$A71,FIND(Q$2,Mail!$A71)+LEN(Q$2)+1,IF(ISERROR(FIND("■",Mail!$A71,FIND(Q$2,Mail!$A71)+LEN(Q$2))-FIND(Q$2,Mail!$A71)-LEN(Q$2)),LEN(Mail!$A71)-60-FIND(Q$2,Mail!$A71)-LEN(Q$2),FIND("■",Mail!$A71,FIND(Q$2,Mail!$A71)+LEN(Q$2))-FIND(Q$2,Mail!$A71)-LEN(Q$2)-1)))))</f>
        <v/>
      </c>
      <c r="R73" s="8" t="str">
        <f>TRIM(CLEAN(IF(ISERROR(FIND(R$2,Mail!$A71)),"",MID(Mail!$A71,FIND(R$2,Mail!$A71)+LEN(R$2)+1,IF(ISERROR(FIND("■",Mail!$A71,FIND(R$2,Mail!$A71)+LEN(R$2))-FIND(R$2,Mail!$A71)-LEN(R$2)),LEN(Mail!$A71)-60-FIND(R$2,Mail!$A71)-LEN(R$2),FIND("■",Mail!$A71,FIND(R$2,Mail!$A71)+LEN(R$2))-FIND(R$2,Mail!$A71)-LEN(R$2)-1)))))</f>
        <v/>
      </c>
      <c r="S73" t="str">
        <f>TRIM(CLEAN(IF(ISERROR(FIND(S$2,Mail!$A71)),"",MID(Mail!$A71,FIND(S$2,Mail!$A71)+LEN(S$2)+1,IF(ISERROR(FIND("■",Mail!$A71,FIND(S$2,Mail!$A71)+LEN(S$2))-FIND(S$2,Mail!$A71)-LEN(S$2)),LEN(Mail!$A71)-60-FIND(S$2,Mail!$A71)-LEN(S$2),FIND("■",Mail!$A71,FIND(S$2,Mail!$A71)+LEN(S$2))-FIND(S$2,Mail!$A71)-LEN(S$2)-1)))))</f>
        <v/>
      </c>
      <c r="T73" t="str">
        <f>TRIM(CLEAN(IF(ISERROR(FIND(T$2,Mail!$A71)),"",MID(Mail!$A71,FIND(T$2,Mail!$A71)+LEN(T$2)+1,IF(ISERROR(FIND("■",Mail!$A71,FIND(T$2,Mail!$A71)+LEN(T$2))-FIND(T$2,Mail!$A71)-LEN(T$2)),LEN(Mail!$A71)-60-FIND(T$2,Mail!$A71)-LEN(T$2),FIND("■",Mail!$A71,FIND(T$2,Mail!$A71)+LEN(T$2))-FIND(T$2,Mail!$A71)-LEN(T$2)-1)))))</f>
        <v/>
      </c>
      <c r="U73" t="str">
        <f>TRIM(CLEAN(IF(ISERROR(FIND(U$2,Mail!$A71)),"",MID(Mail!$A71,FIND(U$2,Mail!$A71)+LEN(U$2)+1,IF(ISERROR(FIND("■",Mail!$A71,FIND(U$2,Mail!$A71)+LEN(U$2))-FIND(U$2,Mail!$A71)-LEN(U$2)),LEN(Mail!$A71)-60-FIND(U$2,Mail!$A71)-LEN(U$2),FIND("■",Mail!$A71,FIND(U$2,Mail!$A71)+LEN(U$2))-FIND(U$2,Mail!$A71)-LEN(U$2)-1)))))</f>
        <v/>
      </c>
      <c r="V73" t="str">
        <f>TRIM(CLEAN(IF(ISERROR(FIND(V$2,Mail!$A71)),"",MID(Mail!$A71,FIND(V$2,Mail!$A71)+LEN(V$2)+1,IF(ISERROR(FIND("■",Mail!$A71,FIND(V$2,Mail!$A71)+LEN(V$2))-FIND(V$2,Mail!$A71)-LEN(V$2)),LEN(Mail!$A71)-60-FIND(V$2,Mail!$A71)-LEN(V$2),FIND("■",Mail!$A71,FIND(V$2,Mail!$A71)+LEN(V$2))-FIND(V$2,Mail!$A71)-LEN(V$2)-1)))))</f>
        <v/>
      </c>
      <c r="W73" t="str">
        <f>TRIM(CLEAN(IF(ISERROR(FIND(W$2,Mail!$A71)),"",MID(Mail!$A71,FIND(W$2,Mail!$A71)+LEN(W$2)+1,IF(ISERROR(FIND("■",Mail!$A71,FIND(W$2,Mail!$A71)+LEN(W$2))-FIND(W$2,Mail!$A71)-LEN(W$2)),LEN(Mail!$A71)-60-FIND(W$2,Mail!$A71)-LEN(W$2),FIND("■",Mail!$A71,FIND(W$2,Mail!$A71)+LEN(W$2))-FIND(W$2,Mail!$A71)-LEN(W$2)-1)))))</f>
        <v/>
      </c>
      <c r="X73" t="str">
        <f>TRIM(IF(ISERROR(FIND(X$2,Mail!$A71)),"",MID(Mail!$A71,FIND(X$2,Mail!$A71)+LEN(X$2)+1,IF(ISERROR(FIND("■",Mail!$A71,FIND(X$2,Mail!$A71)+LEN(X$2))-FIND(X$2,Mail!$A71)-LEN(X$2)),LEN(Mail!$A71)-60-FIND(X$2,Mail!$A71)-LEN(X$2),FIND("■",Mail!$A71,FIND(X$2,Mail!$A71)+LEN(X$2))-FIND(X$2,Mail!$A71)-LEN(X$2)-1))))</f>
        <v/>
      </c>
      <c r="Y73" t="str">
        <f>TRIM(CLEAN(IF(ISERROR(FIND(Y$2,Mail!$A71)),"",MID(Mail!$A71,FIND(Y$2,Mail!$A71)+LEN(Y$2)+1,IF(ISERROR(FIND("■",Mail!$A71,FIND(Y$2,Mail!$A71)+LEN(Y$2))-FIND(Y$2,Mail!$A71)-LEN(Y$2)),LEN(Mail!$A71)-60-FIND(Y$2,Mail!$A71)-LEN(Y$2),FIND("■",Mail!$A71,FIND(Y$2,Mail!$A71)+LEN(Y$2))-FIND(Y$2,Mail!$A71)-LEN(Y$2)-1)))))</f>
        <v/>
      </c>
      <c r="Z73" t="str">
        <f>TRIM(CLEAN(IF(ISERROR(FIND(Z$2,Mail!$A71)),"",MID(Mail!$A71,FIND(Z$2,Mail!$A71)+LEN(Z$2)+1,IF(ISERROR(FIND("■",Mail!$A71,FIND(Z$2,Mail!$A71)+LEN(Z$2))-FIND(Z$2,Mail!$A71)-LEN(Z$2)),LEN(Mail!$A71)-60-FIND(Z$2,Mail!$A71)-LEN(Z$2),FIND("■",Mail!$A71,FIND(Z$2,Mail!$A71)+LEN(Z$2))-FIND(Z$2,Mail!$A71)-LEN(Z$2)-1)))))</f>
        <v/>
      </c>
      <c r="AA73" t="str">
        <f>TRIM(CLEAN(IF(ISERROR(FIND(AA$2,Mail!$A71)),"",MID(Mail!$A71,FIND(AA$2,Mail!$A71)+LEN(AA$2)+1,IF(ISERROR(FIND("■",Mail!$A71,FIND(AA$2,Mail!$A71)+LEN(AA$2))-FIND(AA$2,Mail!$A71)-LEN(AA$2)),LEN(Mail!$A71)-60-FIND(AA$2,Mail!$A71)-LEN(AA$2),FIND("■",Mail!$A71,FIND(AA$2,Mail!$A71)+LEN(AA$2))-FIND(AA$2,Mail!$A71)-LEN(AA$2)-1)))))</f>
        <v/>
      </c>
      <c r="AB73" t="str">
        <f>TRIM(CLEAN(IF(ISERROR(FIND(AB$2,Mail!$A71)),"",MID(Mail!$A71,FIND(AB$2,Mail!$A71)+LEN(AB$2)+1,IF(ISERROR(FIND("■",Mail!$A71,FIND(AB$2,Mail!$A71)+LEN(AB$2))-FIND(AB$2,Mail!$A71)-LEN(AB$2)),LEN(Mail!$A71)-60-FIND(AB$2,Mail!$A71)-LEN(AB$2),FIND("■",Mail!$A71,FIND(AB$2,Mail!$A71)+LEN(AB$2))-FIND(AB$2,Mail!$A71)-LEN(AB$2)-1)))))</f>
        <v/>
      </c>
      <c r="AC73" s="8" t="str">
        <f>TRIM(CLEAN(IF(ISERROR(FIND(AC$2,Mail!$A71)),"",MID(Mail!$A71,FIND(AC$2,Mail!$A71)+LEN(AC$2)+1,IF(ISERROR(FIND("■",Mail!$A71,FIND(AC$2,Mail!$A71)+LEN(AC$2))-FIND(AC$2,Mail!$A71)-LEN(AC$2)),LEN(Mail!$A71)-60-FIND(AC$2,Mail!$A71)-LEN(AC$2),FIND("■",Mail!$A71,FIND(AC$2,Mail!$A71)+LEN(AC$2))-FIND(AC$2,Mail!$A71)-LEN(AC$2)-1)))))</f>
        <v/>
      </c>
      <c r="AD73" t="str">
        <f>TRIM(CLEAN(IF(ISERROR(FIND(AD$2,Mail!$A71)),"",MID(Mail!$A71,FIND(AD$2,Mail!$A71)+LEN(AD$2)+1,IF(ISERROR(FIND("■",Mail!$A71,FIND(AD$2,Mail!$A71)+LEN(AD$2))-FIND(AD$2,Mail!$A71)-LEN(AD$2)),LEN(Mail!$A71)-60-FIND(AD$2,Mail!$A71)-LEN(AD$2),FIND("■",Mail!$A71,FIND(AD$2,Mail!$A71)+LEN(AD$2))-FIND(AD$2,Mail!$A71)-LEN(AD$2)-1)))))</f>
        <v/>
      </c>
      <c r="AE73" t="str">
        <f>TRIM(CLEAN(IF(ISERROR(FIND(AE$2,Mail!$A71)),"",MID(Mail!$A71,FIND(AE$2,Mail!$A71)+LEN(AE$2)+1,IF(ISERROR(FIND("■",Mail!$A71,FIND(AE$2,Mail!$A71)+LEN(AE$2))-FIND(AE$2,Mail!$A71)-LEN(AE$2)),LEN(Mail!$A71)-60-FIND(AE$2,Mail!$A71)-LEN(AE$2),FIND("■",Mail!$A71,FIND(AE$2,Mail!$A71)+LEN(AE$2))-FIND(AE$2,Mail!$A71)-LEN(AE$2)-1)))))</f>
        <v/>
      </c>
      <c r="AF73" t="str">
        <f>TRIM(CLEAN(IF(ISERROR(FIND(AF$2,Mail!$A71)),"",MID(Mail!$A71,FIND(AF$2,Mail!$A71)+LEN(AF$2)+1,IF(ISERROR(FIND("■",Mail!$A71,FIND(AF$2,Mail!$A71)+LEN(AF$2))-FIND(AF$2,Mail!$A71)-LEN(AF$2)),LEN(Mail!$A71)-60-FIND(AF$2,Mail!$A71)-LEN(AF$2),FIND("■",Mail!$A71,FIND(AF$2,Mail!$A71)+LEN(AF$2))-FIND(AF$2,Mail!$A71)-LEN(AF$2)-1)))))</f>
        <v/>
      </c>
      <c r="AG73" t="str">
        <f>TRIM(IF(ISERROR(FIND(AG$2,Mail!$A71)),"",MID(Mail!$A71,FIND(AG$2,Mail!$A71)+LEN(AG$2)+1,IF(ISERROR(FIND("■",Mail!$A71,FIND(AG$2,Mail!$A71)+LEN(AG$2))-FIND(AG$2,Mail!$A71)-LEN(AG$2)),LEN(Mail!$A71)-60-FIND(AG$2,Mail!$A71)-LEN(AG$2),FIND("■",Mail!$A71,FIND(AG$2,Mail!$A71)+LEN(AG$2))-FIND(AG$2,Mail!$A71)-LEN(AG$2)-1))))</f>
        <v/>
      </c>
      <c r="AH73" t="str">
        <f>TRIM(IF(ISERROR(FIND(AH$2,Mail!$A71)),"",MID(Mail!$A71,FIND(AH$2,Mail!$A71)+LEN(AH$2)+1,IF(ISERROR(FIND("■",Mail!$A71,FIND(AH$2,Mail!$A71)+LEN(AH$2))-FIND(AH$2,Mail!$A71)-LEN(AH$2)),LEN(Mail!$A71)-60-FIND(AH$2,Mail!$A71)-LEN(AH$2),FIND("■",Mail!$A71,FIND(AH$2,Mail!$A71)+LEN(AH$2))-FIND(AH$2,Mail!$A71)-LEN(AH$2)-1))))</f>
        <v/>
      </c>
      <c r="AI73" t="str">
        <f>TRIM(IF(ISERROR(FIND(AI$2,Mail!$A71)),"",MID(Mail!$A71,FIND(AI$2,Mail!$A71)+LEN(AI$2)+1,IF(ISERROR(FIND("■",Mail!$A71,FIND(AI$2,Mail!$A71)+LEN(AI$2))-FIND(AI$2,Mail!$A71)-LEN(AI$2)),LEN(Mail!$A71)-60-FIND(AI$2,Mail!$A71)-LEN(AI$2),FIND("■",Mail!$A71,FIND(AI$2,Mail!$A71)+LEN(AI$2))-FIND(AI$2,Mail!$A71)-LEN(AI$2)-1))))</f>
        <v/>
      </c>
    </row>
    <row r="74" spans="1:35" x14ac:dyDescent="0.15">
      <c r="A74" s="9" t="str">
        <f t="shared" si="6"/>
        <v/>
      </c>
      <c r="B74" s="8" t="str">
        <f>CLEAN(SUBSTITUTE(IF(ISERROR(FIND("yokohama",Mail!$A72)),"",MID(Mail!$A72,FIND("yokohama",Mail!$A72)+LEN("yokohama")+1,FIND("件目",Mail!$A72,FIND("yokohama",Mail!$A72))-(FIND("yokohama",Mail!$A72)+LEN("yokohama")+1)))," ",""))</f>
        <v/>
      </c>
      <c r="C74" s="2" t="str">
        <f t="shared" si="5"/>
        <v/>
      </c>
      <c r="D74" s="9" t="str">
        <f t="shared" si="7"/>
        <v/>
      </c>
      <c r="E74" s="8" t="str">
        <f t="shared" si="8"/>
        <v/>
      </c>
      <c r="F74" t="str">
        <f>TRIM(CLEAN(IF(ISERROR(FIND(F$2,Mail!$A72)),"",MID(Mail!$A72,FIND(F$2,Mail!$A72)+LEN(F$2)+1,IF(ISERROR(FIND("■",Mail!$A72,FIND(F$2,Mail!$A72)+LEN(F$2))-FIND(F$2,Mail!$A72)-LEN(F$2)),LEN(Mail!$A72)-60-FIND(F$2,Mail!$A72)-LEN(F$2),FIND("■",Mail!$A72,FIND(F$2,Mail!$A72)+LEN(F$2))-FIND(F$2,Mail!$A72)-LEN(F$2)-1)))))</f>
        <v/>
      </c>
      <c r="G74" t="str">
        <f>TRIM(CLEAN(IF(ISERROR(FIND(G$2,Mail!$A72)),"",MID(Mail!$A72,FIND(G$2,Mail!$A72)+LEN(G$2)+1,IF(ISERROR(FIND("■",Mail!$A72,FIND(G$2,Mail!$A72)+LEN(G$2))-FIND(G$2,Mail!$A72)-LEN(G$2)),LEN(Mail!$A72)-60-FIND(G$2,Mail!$A72)-LEN(G$2),FIND("■",Mail!$A72,FIND(G$2,Mail!$A72)+LEN(G$2))-FIND(G$2,Mail!$A72)-LEN(G$2)-1)))))</f>
        <v/>
      </c>
      <c r="H74" s="8" t="str">
        <f>TRIM(CLEAN(IF(ISERROR(FIND(H$2,Mail!$A72)),"",MID(Mail!$A72,FIND(H$2,Mail!$A72)+LEN(H$2)+1,IF(ISERROR(FIND("■",Mail!$A72,FIND(H$2,Mail!$A72)+LEN(H$2))-FIND(H$2,Mail!$A72)-LEN(H$2)),LEN(Mail!$A72)-60-FIND(H$2,Mail!$A72)-LEN(H$2),FIND("■",Mail!$A72,FIND(H$2,Mail!$A72)+LEN(H$2))-FIND(H$2,Mail!$A72)-LEN(H$2)-1)))))</f>
        <v/>
      </c>
      <c r="I74" t="str">
        <f>TRIM(CLEAN(IF(ISERROR(FIND(I$2,Mail!$A72)),"",MID(Mail!$A72,FIND(I$2,Mail!$A72)+LEN(I$2)+1,IF(ISERROR(FIND("■",Mail!$A72,FIND(I$2,Mail!$A72)+LEN(I$2))-FIND(I$2,Mail!$A72)-LEN(I$2)),LEN(Mail!$A72)-60-FIND(I$2,Mail!$A72)-LEN(I$2),FIND("■",Mail!$A72,FIND(I$2,Mail!$A72)+LEN(I$2))-FIND(I$2,Mail!$A72)-LEN(I$2)-1)))))</f>
        <v/>
      </c>
      <c r="J74" t="str">
        <f>TRIM(IF(ISERROR(FIND(J$2,Mail!$A72)),"",MID(Mail!$A72,FIND(J$2,Mail!$A72)+LEN(J$2)+1,IF(ISERROR(FIND("■",Mail!$A72,FIND(J$2,Mail!$A72)+LEN(J$2))-FIND(J$2,Mail!$A72)-LEN(J$2)),LEN(Mail!$A72)-60-FIND(J$2,Mail!$A72)-LEN(J$2),FIND("■",Mail!$A72,FIND(J$2,Mail!$A72)+LEN(J$2))-FIND(J$2,Mail!$A72)-LEN(J$2)-1))))</f>
        <v/>
      </c>
      <c r="K74" t="str">
        <f>TRIM(IF(ISERROR(FIND(K$2,Mail!$A72)),"",MID(Mail!$A72,FIND(K$2,Mail!$A72)+LEN(K$2)+1,IF(ISERROR(FIND("■",Mail!$A72,FIND(K$2,Mail!$A72)+LEN(K$2))-FIND(K$2,Mail!$A72)-LEN(K$2)),LEN(Mail!$A72)-60-FIND(K$2,Mail!$A72)-LEN(K$2),FIND("■",Mail!$A72,FIND(K$2,Mail!$A72)+LEN(K$2))-FIND(K$2,Mail!$A72)-LEN(K$2)-1))))</f>
        <v/>
      </c>
      <c r="L74" t="str">
        <f>TRIM(IF(ISERROR(FIND(L$2,Mail!$A72)),"",MID(Mail!$A72,FIND(L$2,Mail!$A72)+LEN(L$2)+1,IF(ISERROR(FIND("■",Mail!$A72,FIND(L$2,Mail!$A72)+LEN(L$2))-FIND(L$2,Mail!$A72)-LEN(L$2)),LEN(Mail!$A72)-60-FIND(L$2,Mail!$A72)-LEN(L$2),FIND("■",Mail!$A72,FIND(L$2,Mail!$A72)+LEN(L$2))-FIND(L$2,Mail!$A72)-LEN(L$2)-1))))</f>
        <v/>
      </c>
      <c r="M74" t="str">
        <f>TRIM(CLEAN(IF(ISERROR(FIND(M$2,Mail!$A72)),"",MID(Mail!$A72,FIND(M$2,Mail!$A72)+LEN(M$2)+1,IF(ISERROR(FIND("■",Mail!$A72,FIND(M$2,Mail!$A72)+LEN(M$2))-FIND(M$2,Mail!$A72)-LEN(M$2)),LEN(Mail!$A72)-60-FIND(M$2,Mail!$A72)-LEN(M$2),FIND("■",Mail!$A72,FIND(M$2,Mail!$A72)+LEN(M$2))-FIND(M$2,Mail!$A72)-LEN(M$2)-1)))))</f>
        <v/>
      </c>
      <c r="N74" t="str">
        <f>TRIM(CLEAN(IF(ISERROR(FIND(N$2,Mail!$A72)),"",MID(Mail!$A72,FIND(N$2,Mail!$A72)+LEN(N$2)+1,IF(ISERROR(FIND("■",Mail!$A72,FIND(N$2,Mail!$A72)+LEN(N$2))-FIND(N$2,Mail!$A72)-LEN(N$2)),LEN(Mail!$A72)-60-FIND(N$2,Mail!$A72)-LEN(N$2),FIND("■",Mail!$A72,FIND(N$2,Mail!$A72)+LEN(N$2))-FIND(N$2,Mail!$A72)-LEN(N$2)-1)))))</f>
        <v/>
      </c>
      <c r="O74" t="str">
        <f>TRIM(CLEAN(IF(ISERROR(FIND(O$2,Mail!$A72)),"",MID(Mail!$A72,FIND(O$2,Mail!$A72)+LEN(O$2)+1,IF(ISERROR(FIND("■",Mail!$A72,FIND(O$2,Mail!$A72)+LEN(O$2))-FIND(O$2,Mail!$A72)-LEN(O$2)),LEN(Mail!$A72)-60-FIND(O$2,Mail!$A72)-LEN(O$2),FIND("■",Mail!$A72,FIND(O$2,Mail!$A72)+LEN(O$2))-FIND(O$2,Mail!$A72)-LEN(O$2)-1)))))</f>
        <v/>
      </c>
      <c r="P74" t="str">
        <f>TRIM(CLEAN(IF(ISERROR(FIND(P$2,Mail!$A72)),"",MID(Mail!$A72,FIND(P$2,Mail!$A72)+LEN(P$2)+1,IF(ISERROR(FIND("■",Mail!$A72,FIND(P$2,Mail!$A72)+LEN(P$2))-FIND(P$2,Mail!$A72)-LEN(P$2)),LEN(Mail!$A72)-60-FIND(P$2,Mail!$A72)-LEN(P$2),FIND("■",Mail!$A72,FIND(P$2,Mail!$A72)+LEN(P$2))-FIND(P$2,Mail!$A72)-LEN(P$2)-1)))))</f>
        <v/>
      </c>
      <c r="Q74" t="str">
        <f>TRIM(CLEAN(IF(ISERROR(FIND(Q$2,Mail!$A72)),"",MID(Mail!$A72,FIND(Q$2,Mail!$A72)+LEN(Q$2)+1,IF(ISERROR(FIND("■",Mail!$A72,FIND(Q$2,Mail!$A72)+LEN(Q$2))-FIND(Q$2,Mail!$A72)-LEN(Q$2)),LEN(Mail!$A72)-60-FIND(Q$2,Mail!$A72)-LEN(Q$2),FIND("■",Mail!$A72,FIND(Q$2,Mail!$A72)+LEN(Q$2))-FIND(Q$2,Mail!$A72)-LEN(Q$2)-1)))))</f>
        <v/>
      </c>
      <c r="R74" s="8" t="str">
        <f>TRIM(CLEAN(IF(ISERROR(FIND(R$2,Mail!$A72)),"",MID(Mail!$A72,FIND(R$2,Mail!$A72)+LEN(R$2)+1,IF(ISERROR(FIND("■",Mail!$A72,FIND(R$2,Mail!$A72)+LEN(R$2))-FIND(R$2,Mail!$A72)-LEN(R$2)),LEN(Mail!$A72)-60-FIND(R$2,Mail!$A72)-LEN(R$2),FIND("■",Mail!$A72,FIND(R$2,Mail!$A72)+LEN(R$2))-FIND(R$2,Mail!$A72)-LEN(R$2)-1)))))</f>
        <v/>
      </c>
      <c r="S74" t="str">
        <f>TRIM(CLEAN(IF(ISERROR(FIND(S$2,Mail!$A72)),"",MID(Mail!$A72,FIND(S$2,Mail!$A72)+LEN(S$2)+1,IF(ISERROR(FIND("■",Mail!$A72,FIND(S$2,Mail!$A72)+LEN(S$2))-FIND(S$2,Mail!$A72)-LEN(S$2)),LEN(Mail!$A72)-60-FIND(S$2,Mail!$A72)-LEN(S$2),FIND("■",Mail!$A72,FIND(S$2,Mail!$A72)+LEN(S$2))-FIND(S$2,Mail!$A72)-LEN(S$2)-1)))))</f>
        <v/>
      </c>
      <c r="T74" t="str">
        <f>TRIM(CLEAN(IF(ISERROR(FIND(T$2,Mail!$A72)),"",MID(Mail!$A72,FIND(T$2,Mail!$A72)+LEN(T$2)+1,IF(ISERROR(FIND("■",Mail!$A72,FIND(T$2,Mail!$A72)+LEN(T$2))-FIND(T$2,Mail!$A72)-LEN(T$2)),LEN(Mail!$A72)-60-FIND(T$2,Mail!$A72)-LEN(T$2),FIND("■",Mail!$A72,FIND(T$2,Mail!$A72)+LEN(T$2))-FIND(T$2,Mail!$A72)-LEN(T$2)-1)))))</f>
        <v/>
      </c>
      <c r="U74" t="str">
        <f>TRIM(CLEAN(IF(ISERROR(FIND(U$2,Mail!$A72)),"",MID(Mail!$A72,FIND(U$2,Mail!$A72)+LEN(U$2)+1,IF(ISERROR(FIND("■",Mail!$A72,FIND(U$2,Mail!$A72)+LEN(U$2))-FIND(U$2,Mail!$A72)-LEN(U$2)),LEN(Mail!$A72)-60-FIND(U$2,Mail!$A72)-LEN(U$2),FIND("■",Mail!$A72,FIND(U$2,Mail!$A72)+LEN(U$2))-FIND(U$2,Mail!$A72)-LEN(U$2)-1)))))</f>
        <v/>
      </c>
      <c r="V74" t="str">
        <f>TRIM(CLEAN(IF(ISERROR(FIND(V$2,Mail!$A72)),"",MID(Mail!$A72,FIND(V$2,Mail!$A72)+LEN(V$2)+1,IF(ISERROR(FIND("■",Mail!$A72,FIND(V$2,Mail!$A72)+LEN(V$2))-FIND(V$2,Mail!$A72)-LEN(V$2)),LEN(Mail!$A72)-60-FIND(V$2,Mail!$A72)-LEN(V$2),FIND("■",Mail!$A72,FIND(V$2,Mail!$A72)+LEN(V$2))-FIND(V$2,Mail!$A72)-LEN(V$2)-1)))))</f>
        <v/>
      </c>
      <c r="W74" t="str">
        <f>TRIM(CLEAN(IF(ISERROR(FIND(W$2,Mail!$A72)),"",MID(Mail!$A72,FIND(W$2,Mail!$A72)+LEN(W$2)+1,IF(ISERROR(FIND("■",Mail!$A72,FIND(W$2,Mail!$A72)+LEN(W$2))-FIND(W$2,Mail!$A72)-LEN(W$2)),LEN(Mail!$A72)-60-FIND(W$2,Mail!$A72)-LEN(W$2),FIND("■",Mail!$A72,FIND(W$2,Mail!$A72)+LEN(W$2))-FIND(W$2,Mail!$A72)-LEN(W$2)-1)))))</f>
        <v/>
      </c>
      <c r="X74" t="str">
        <f>TRIM(IF(ISERROR(FIND(X$2,Mail!$A72)),"",MID(Mail!$A72,FIND(X$2,Mail!$A72)+LEN(X$2)+1,IF(ISERROR(FIND("■",Mail!$A72,FIND(X$2,Mail!$A72)+LEN(X$2))-FIND(X$2,Mail!$A72)-LEN(X$2)),LEN(Mail!$A72)-60-FIND(X$2,Mail!$A72)-LEN(X$2),FIND("■",Mail!$A72,FIND(X$2,Mail!$A72)+LEN(X$2))-FIND(X$2,Mail!$A72)-LEN(X$2)-1))))</f>
        <v/>
      </c>
      <c r="Y74" t="str">
        <f>TRIM(CLEAN(IF(ISERROR(FIND(Y$2,Mail!$A72)),"",MID(Mail!$A72,FIND(Y$2,Mail!$A72)+LEN(Y$2)+1,IF(ISERROR(FIND("■",Mail!$A72,FIND(Y$2,Mail!$A72)+LEN(Y$2))-FIND(Y$2,Mail!$A72)-LEN(Y$2)),LEN(Mail!$A72)-60-FIND(Y$2,Mail!$A72)-LEN(Y$2),FIND("■",Mail!$A72,FIND(Y$2,Mail!$A72)+LEN(Y$2))-FIND(Y$2,Mail!$A72)-LEN(Y$2)-1)))))</f>
        <v/>
      </c>
      <c r="Z74" t="str">
        <f>TRIM(CLEAN(IF(ISERROR(FIND(Z$2,Mail!$A72)),"",MID(Mail!$A72,FIND(Z$2,Mail!$A72)+LEN(Z$2)+1,IF(ISERROR(FIND("■",Mail!$A72,FIND(Z$2,Mail!$A72)+LEN(Z$2))-FIND(Z$2,Mail!$A72)-LEN(Z$2)),LEN(Mail!$A72)-60-FIND(Z$2,Mail!$A72)-LEN(Z$2),FIND("■",Mail!$A72,FIND(Z$2,Mail!$A72)+LEN(Z$2))-FIND(Z$2,Mail!$A72)-LEN(Z$2)-1)))))</f>
        <v/>
      </c>
      <c r="AA74" t="str">
        <f>TRIM(CLEAN(IF(ISERROR(FIND(AA$2,Mail!$A72)),"",MID(Mail!$A72,FIND(AA$2,Mail!$A72)+LEN(AA$2)+1,IF(ISERROR(FIND("■",Mail!$A72,FIND(AA$2,Mail!$A72)+LEN(AA$2))-FIND(AA$2,Mail!$A72)-LEN(AA$2)),LEN(Mail!$A72)-60-FIND(AA$2,Mail!$A72)-LEN(AA$2),FIND("■",Mail!$A72,FIND(AA$2,Mail!$A72)+LEN(AA$2))-FIND(AA$2,Mail!$A72)-LEN(AA$2)-1)))))</f>
        <v/>
      </c>
      <c r="AB74" t="str">
        <f>TRIM(CLEAN(IF(ISERROR(FIND(AB$2,Mail!$A72)),"",MID(Mail!$A72,FIND(AB$2,Mail!$A72)+LEN(AB$2)+1,IF(ISERROR(FIND("■",Mail!$A72,FIND(AB$2,Mail!$A72)+LEN(AB$2))-FIND(AB$2,Mail!$A72)-LEN(AB$2)),LEN(Mail!$A72)-60-FIND(AB$2,Mail!$A72)-LEN(AB$2),FIND("■",Mail!$A72,FIND(AB$2,Mail!$A72)+LEN(AB$2))-FIND(AB$2,Mail!$A72)-LEN(AB$2)-1)))))</f>
        <v/>
      </c>
      <c r="AC74" s="8" t="str">
        <f>TRIM(CLEAN(IF(ISERROR(FIND(AC$2,Mail!$A72)),"",MID(Mail!$A72,FIND(AC$2,Mail!$A72)+LEN(AC$2)+1,IF(ISERROR(FIND("■",Mail!$A72,FIND(AC$2,Mail!$A72)+LEN(AC$2))-FIND(AC$2,Mail!$A72)-LEN(AC$2)),LEN(Mail!$A72)-60-FIND(AC$2,Mail!$A72)-LEN(AC$2),FIND("■",Mail!$A72,FIND(AC$2,Mail!$A72)+LEN(AC$2))-FIND(AC$2,Mail!$A72)-LEN(AC$2)-1)))))</f>
        <v/>
      </c>
      <c r="AD74" t="str">
        <f>TRIM(CLEAN(IF(ISERROR(FIND(AD$2,Mail!$A72)),"",MID(Mail!$A72,FIND(AD$2,Mail!$A72)+LEN(AD$2)+1,IF(ISERROR(FIND("■",Mail!$A72,FIND(AD$2,Mail!$A72)+LEN(AD$2))-FIND(AD$2,Mail!$A72)-LEN(AD$2)),LEN(Mail!$A72)-60-FIND(AD$2,Mail!$A72)-LEN(AD$2),FIND("■",Mail!$A72,FIND(AD$2,Mail!$A72)+LEN(AD$2))-FIND(AD$2,Mail!$A72)-LEN(AD$2)-1)))))</f>
        <v/>
      </c>
      <c r="AE74" t="str">
        <f>TRIM(CLEAN(IF(ISERROR(FIND(AE$2,Mail!$A72)),"",MID(Mail!$A72,FIND(AE$2,Mail!$A72)+LEN(AE$2)+1,IF(ISERROR(FIND("■",Mail!$A72,FIND(AE$2,Mail!$A72)+LEN(AE$2))-FIND(AE$2,Mail!$A72)-LEN(AE$2)),LEN(Mail!$A72)-60-FIND(AE$2,Mail!$A72)-LEN(AE$2),FIND("■",Mail!$A72,FIND(AE$2,Mail!$A72)+LEN(AE$2))-FIND(AE$2,Mail!$A72)-LEN(AE$2)-1)))))</f>
        <v/>
      </c>
      <c r="AF74" t="str">
        <f>TRIM(CLEAN(IF(ISERROR(FIND(AF$2,Mail!$A72)),"",MID(Mail!$A72,FIND(AF$2,Mail!$A72)+LEN(AF$2)+1,IF(ISERROR(FIND("■",Mail!$A72,FIND(AF$2,Mail!$A72)+LEN(AF$2))-FIND(AF$2,Mail!$A72)-LEN(AF$2)),LEN(Mail!$A72)-60-FIND(AF$2,Mail!$A72)-LEN(AF$2),FIND("■",Mail!$A72,FIND(AF$2,Mail!$A72)+LEN(AF$2))-FIND(AF$2,Mail!$A72)-LEN(AF$2)-1)))))</f>
        <v/>
      </c>
      <c r="AG74" t="str">
        <f>TRIM(IF(ISERROR(FIND(AG$2,Mail!$A72)),"",MID(Mail!$A72,FIND(AG$2,Mail!$A72)+LEN(AG$2)+1,IF(ISERROR(FIND("■",Mail!$A72,FIND(AG$2,Mail!$A72)+LEN(AG$2))-FIND(AG$2,Mail!$A72)-LEN(AG$2)),LEN(Mail!$A72)-60-FIND(AG$2,Mail!$A72)-LEN(AG$2),FIND("■",Mail!$A72,FIND(AG$2,Mail!$A72)+LEN(AG$2))-FIND(AG$2,Mail!$A72)-LEN(AG$2)-1))))</f>
        <v/>
      </c>
      <c r="AH74" t="str">
        <f>TRIM(IF(ISERROR(FIND(AH$2,Mail!$A72)),"",MID(Mail!$A72,FIND(AH$2,Mail!$A72)+LEN(AH$2)+1,IF(ISERROR(FIND("■",Mail!$A72,FIND(AH$2,Mail!$A72)+LEN(AH$2))-FIND(AH$2,Mail!$A72)-LEN(AH$2)),LEN(Mail!$A72)-60-FIND(AH$2,Mail!$A72)-LEN(AH$2),FIND("■",Mail!$A72,FIND(AH$2,Mail!$A72)+LEN(AH$2))-FIND(AH$2,Mail!$A72)-LEN(AH$2)-1))))</f>
        <v/>
      </c>
      <c r="AI74" t="str">
        <f>TRIM(IF(ISERROR(FIND(AI$2,Mail!$A72)),"",MID(Mail!$A72,FIND(AI$2,Mail!$A72)+LEN(AI$2)+1,IF(ISERROR(FIND("■",Mail!$A72,FIND(AI$2,Mail!$A72)+LEN(AI$2))-FIND(AI$2,Mail!$A72)-LEN(AI$2)),LEN(Mail!$A72)-60-FIND(AI$2,Mail!$A72)-LEN(AI$2),FIND("■",Mail!$A72,FIND(AI$2,Mail!$A72)+LEN(AI$2))-FIND(AI$2,Mail!$A72)-LEN(AI$2)-1))))</f>
        <v/>
      </c>
    </row>
    <row r="75" spans="1:35" x14ac:dyDescent="0.15">
      <c r="A75" s="9" t="str">
        <f t="shared" si="6"/>
        <v/>
      </c>
      <c r="B75" s="8" t="str">
        <f>CLEAN(SUBSTITUTE(IF(ISERROR(FIND("yokohama",Mail!$A73)),"",MID(Mail!$A73,FIND("yokohama",Mail!$A73)+LEN("yokohama")+1,FIND("件目",Mail!$A73,FIND("yokohama",Mail!$A73))-(FIND("yokohama",Mail!$A73)+LEN("yokohama")+1)))," ",""))</f>
        <v/>
      </c>
      <c r="C75" s="2" t="str">
        <f t="shared" si="5"/>
        <v/>
      </c>
      <c r="D75" s="9" t="str">
        <f t="shared" si="7"/>
        <v/>
      </c>
      <c r="E75" s="8" t="str">
        <f t="shared" si="8"/>
        <v/>
      </c>
      <c r="F75" t="str">
        <f>TRIM(CLEAN(IF(ISERROR(FIND(F$2,Mail!$A73)),"",MID(Mail!$A73,FIND(F$2,Mail!$A73)+LEN(F$2)+1,IF(ISERROR(FIND("■",Mail!$A73,FIND(F$2,Mail!$A73)+LEN(F$2))-FIND(F$2,Mail!$A73)-LEN(F$2)),LEN(Mail!$A73)-60-FIND(F$2,Mail!$A73)-LEN(F$2),FIND("■",Mail!$A73,FIND(F$2,Mail!$A73)+LEN(F$2))-FIND(F$2,Mail!$A73)-LEN(F$2)-1)))))</f>
        <v/>
      </c>
      <c r="G75" t="str">
        <f>TRIM(CLEAN(IF(ISERROR(FIND(G$2,Mail!$A73)),"",MID(Mail!$A73,FIND(G$2,Mail!$A73)+LEN(G$2)+1,IF(ISERROR(FIND("■",Mail!$A73,FIND(G$2,Mail!$A73)+LEN(G$2))-FIND(G$2,Mail!$A73)-LEN(G$2)),LEN(Mail!$A73)-60-FIND(G$2,Mail!$A73)-LEN(G$2),FIND("■",Mail!$A73,FIND(G$2,Mail!$A73)+LEN(G$2))-FIND(G$2,Mail!$A73)-LEN(G$2)-1)))))</f>
        <v/>
      </c>
      <c r="H75" s="8" t="str">
        <f>TRIM(CLEAN(IF(ISERROR(FIND(H$2,Mail!$A73)),"",MID(Mail!$A73,FIND(H$2,Mail!$A73)+LEN(H$2)+1,IF(ISERROR(FIND("■",Mail!$A73,FIND(H$2,Mail!$A73)+LEN(H$2))-FIND(H$2,Mail!$A73)-LEN(H$2)),LEN(Mail!$A73)-60-FIND(H$2,Mail!$A73)-LEN(H$2),FIND("■",Mail!$A73,FIND(H$2,Mail!$A73)+LEN(H$2))-FIND(H$2,Mail!$A73)-LEN(H$2)-1)))))</f>
        <v/>
      </c>
      <c r="I75" t="str">
        <f>TRIM(CLEAN(IF(ISERROR(FIND(I$2,Mail!$A73)),"",MID(Mail!$A73,FIND(I$2,Mail!$A73)+LEN(I$2)+1,IF(ISERROR(FIND("■",Mail!$A73,FIND(I$2,Mail!$A73)+LEN(I$2))-FIND(I$2,Mail!$A73)-LEN(I$2)),LEN(Mail!$A73)-60-FIND(I$2,Mail!$A73)-LEN(I$2),FIND("■",Mail!$A73,FIND(I$2,Mail!$A73)+LEN(I$2))-FIND(I$2,Mail!$A73)-LEN(I$2)-1)))))</f>
        <v/>
      </c>
      <c r="J75" t="str">
        <f>TRIM(IF(ISERROR(FIND(J$2,Mail!$A73)),"",MID(Mail!$A73,FIND(J$2,Mail!$A73)+LEN(J$2)+1,IF(ISERROR(FIND("■",Mail!$A73,FIND(J$2,Mail!$A73)+LEN(J$2))-FIND(J$2,Mail!$A73)-LEN(J$2)),LEN(Mail!$A73)-60-FIND(J$2,Mail!$A73)-LEN(J$2),FIND("■",Mail!$A73,FIND(J$2,Mail!$A73)+LEN(J$2))-FIND(J$2,Mail!$A73)-LEN(J$2)-1))))</f>
        <v/>
      </c>
      <c r="K75" t="str">
        <f>TRIM(IF(ISERROR(FIND(K$2,Mail!$A73)),"",MID(Mail!$A73,FIND(K$2,Mail!$A73)+LEN(K$2)+1,IF(ISERROR(FIND("■",Mail!$A73,FIND(K$2,Mail!$A73)+LEN(K$2))-FIND(K$2,Mail!$A73)-LEN(K$2)),LEN(Mail!$A73)-60-FIND(K$2,Mail!$A73)-LEN(K$2),FIND("■",Mail!$A73,FIND(K$2,Mail!$A73)+LEN(K$2))-FIND(K$2,Mail!$A73)-LEN(K$2)-1))))</f>
        <v/>
      </c>
      <c r="L75" t="str">
        <f>TRIM(IF(ISERROR(FIND(L$2,Mail!$A73)),"",MID(Mail!$A73,FIND(L$2,Mail!$A73)+LEN(L$2)+1,IF(ISERROR(FIND("■",Mail!$A73,FIND(L$2,Mail!$A73)+LEN(L$2))-FIND(L$2,Mail!$A73)-LEN(L$2)),LEN(Mail!$A73)-60-FIND(L$2,Mail!$A73)-LEN(L$2),FIND("■",Mail!$A73,FIND(L$2,Mail!$A73)+LEN(L$2))-FIND(L$2,Mail!$A73)-LEN(L$2)-1))))</f>
        <v/>
      </c>
      <c r="M75" t="str">
        <f>TRIM(CLEAN(IF(ISERROR(FIND(M$2,Mail!$A73)),"",MID(Mail!$A73,FIND(M$2,Mail!$A73)+LEN(M$2)+1,IF(ISERROR(FIND("■",Mail!$A73,FIND(M$2,Mail!$A73)+LEN(M$2))-FIND(M$2,Mail!$A73)-LEN(M$2)),LEN(Mail!$A73)-60-FIND(M$2,Mail!$A73)-LEN(M$2),FIND("■",Mail!$A73,FIND(M$2,Mail!$A73)+LEN(M$2))-FIND(M$2,Mail!$A73)-LEN(M$2)-1)))))</f>
        <v/>
      </c>
      <c r="N75" t="str">
        <f>TRIM(CLEAN(IF(ISERROR(FIND(N$2,Mail!$A73)),"",MID(Mail!$A73,FIND(N$2,Mail!$A73)+LEN(N$2)+1,IF(ISERROR(FIND("■",Mail!$A73,FIND(N$2,Mail!$A73)+LEN(N$2))-FIND(N$2,Mail!$A73)-LEN(N$2)),LEN(Mail!$A73)-60-FIND(N$2,Mail!$A73)-LEN(N$2),FIND("■",Mail!$A73,FIND(N$2,Mail!$A73)+LEN(N$2))-FIND(N$2,Mail!$A73)-LEN(N$2)-1)))))</f>
        <v/>
      </c>
      <c r="O75" t="str">
        <f>TRIM(CLEAN(IF(ISERROR(FIND(O$2,Mail!$A73)),"",MID(Mail!$A73,FIND(O$2,Mail!$A73)+LEN(O$2)+1,IF(ISERROR(FIND("■",Mail!$A73,FIND(O$2,Mail!$A73)+LEN(O$2))-FIND(O$2,Mail!$A73)-LEN(O$2)),LEN(Mail!$A73)-60-FIND(O$2,Mail!$A73)-LEN(O$2),FIND("■",Mail!$A73,FIND(O$2,Mail!$A73)+LEN(O$2))-FIND(O$2,Mail!$A73)-LEN(O$2)-1)))))</f>
        <v/>
      </c>
      <c r="P75" t="str">
        <f>TRIM(CLEAN(IF(ISERROR(FIND(P$2,Mail!$A73)),"",MID(Mail!$A73,FIND(P$2,Mail!$A73)+LEN(P$2)+1,IF(ISERROR(FIND("■",Mail!$A73,FIND(P$2,Mail!$A73)+LEN(P$2))-FIND(P$2,Mail!$A73)-LEN(P$2)),LEN(Mail!$A73)-60-FIND(P$2,Mail!$A73)-LEN(P$2),FIND("■",Mail!$A73,FIND(P$2,Mail!$A73)+LEN(P$2))-FIND(P$2,Mail!$A73)-LEN(P$2)-1)))))</f>
        <v/>
      </c>
      <c r="Q75" t="str">
        <f>TRIM(CLEAN(IF(ISERROR(FIND(Q$2,Mail!$A73)),"",MID(Mail!$A73,FIND(Q$2,Mail!$A73)+LEN(Q$2)+1,IF(ISERROR(FIND("■",Mail!$A73,FIND(Q$2,Mail!$A73)+LEN(Q$2))-FIND(Q$2,Mail!$A73)-LEN(Q$2)),LEN(Mail!$A73)-60-FIND(Q$2,Mail!$A73)-LEN(Q$2),FIND("■",Mail!$A73,FIND(Q$2,Mail!$A73)+LEN(Q$2))-FIND(Q$2,Mail!$A73)-LEN(Q$2)-1)))))</f>
        <v/>
      </c>
      <c r="R75" s="8" t="str">
        <f>TRIM(CLEAN(IF(ISERROR(FIND(R$2,Mail!$A73)),"",MID(Mail!$A73,FIND(R$2,Mail!$A73)+LEN(R$2)+1,IF(ISERROR(FIND("■",Mail!$A73,FIND(R$2,Mail!$A73)+LEN(R$2))-FIND(R$2,Mail!$A73)-LEN(R$2)),LEN(Mail!$A73)-60-FIND(R$2,Mail!$A73)-LEN(R$2),FIND("■",Mail!$A73,FIND(R$2,Mail!$A73)+LEN(R$2))-FIND(R$2,Mail!$A73)-LEN(R$2)-1)))))</f>
        <v/>
      </c>
      <c r="S75" t="str">
        <f>TRIM(CLEAN(IF(ISERROR(FIND(S$2,Mail!$A73)),"",MID(Mail!$A73,FIND(S$2,Mail!$A73)+LEN(S$2)+1,IF(ISERROR(FIND("■",Mail!$A73,FIND(S$2,Mail!$A73)+LEN(S$2))-FIND(S$2,Mail!$A73)-LEN(S$2)),LEN(Mail!$A73)-60-FIND(S$2,Mail!$A73)-LEN(S$2),FIND("■",Mail!$A73,FIND(S$2,Mail!$A73)+LEN(S$2))-FIND(S$2,Mail!$A73)-LEN(S$2)-1)))))</f>
        <v/>
      </c>
      <c r="T75" t="str">
        <f>TRIM(CLEAN(IF(ISERROR(FIND(T$2,Mail!$A73)),"",MID(Mail!$A73,FIND(T$2,Mail!$A73)+LEN(T$2)+1,IF(ISERROR(FIND("■",Mail!$A73,FIND(T$2,Mail!$A73)+LEN(T$2))-FIND(T$2,Mail!$A73)-LEN(T$2)),LEN(Mail!$A73)-60-FIND(T$2,Mail!$A73)-LEN(T$2),FIND("■",Mail!$A73,FIND(T$2,Mail!$A73)+LEN(T$2))-FIND(T$2,Mail!$A73)-LEN(T$2)-1)))))</f>
        <v/>
      </c>
      <c r="U75" t="str">
        <f>TRIM(CLEAN(IF(ISERROR(FIND(U$2,Mail!$A73)),"",MID(Mail!$A73,FIND(U$2,Mail!$A73)+LEN(U$2)+1,IF(ISERROR(FIND("■",Mail!$A73,FIND(U$2,Mail!$A73)+LEN(U$2))-FIND(U$2,Mail!$A73)-LEN(U$2)),LEN(Mail!$A73)-60-FIND(U$2,Mail!$A73)-LEN(U$2),FIND("■",Mail!$A73,FIND(U$2,Mail!$A73)+LEN(U$2))-FIND(U$2,Mail!$A73)-LEN(U$2)-1)))))</f>
        <v/>
      </c>
      <c r="V75" t="str">
        <f>TRIM(CLEAN(IF(ISERROR(FIND(V$2,Mail!$A73)),"",MID(Mail!$A73,FIND(V$2,Mail!$A73)+LEN(V$2)+1,IF(ISERROR(FIND("■",Mail!$A73,FIND(V$2,Mail!$A73)+LEN(V$2))-FIND(V$2,Mail!$A73)-LEN(V$2)),LEN(Mail!$A73)-60-FIND(V$2,Mail!$A73)-LEN(V$2),FIND("■",Mail!$A73,FIND(V$2,Mail!$A73)+LEN(V$2))-FIND(V$2,Mail!$A73)-LEN(V$2)-1)))))</f>
        <v/>
      </c>
      <c r="W75" t="str">
        <f>TRIM(CLEAN(IF(ISERROR(FIND(W$2,Mail!$A73)),"",MID(Mail!$A73,FIND(W$2,Mail!$A73)+LEN(W$2)+1,IF(ISERROR(FIND("■",Mail!$A73,FIND(W$2,Mail!$A73)+LEN(W$2))-FIND(W$2,Mail!$A73)-LEN(W$2)),LEN(Mail!$A73)-60-FIND(W$2,Mail!$A73)-LEN(W$2),FIND("■",Mail!$A73,FIND(W$2,Mail!$A73)+LEN(W$2))-FIND(W$2,Mail!$A73)-LEN(W$2)-1)))))</f>
        <v/>
      </c>
      <c r="X75" t="str">
        <f>TRIM(IF(ISERROR(FIND(X$2,Mail!$A73)),"",MID(Mail!$A73,FIND(X$2,Mail!$A73)+LEN(X$2)+1,IF(ISERROR(FIND("■",Mail!$A73,FIND(X$2,Mail!$A73)+LEN(X$2))-FIND(X$2,Mail!$A73)-LEN(X$2)),LEN(Mail!$A73)-60-FIND(X$2,Mail!$A73)-LEN(X$2),FIND("■",Mail!$A73,FIND(X$2,Mail!$A73)+LEN(X$2))-FIND(X$2,Mail!$A73)-LEN(X$2)-1))))</f>
        <v/>
      </c>
      <c r="Y75" t="str">
        <f>TRIM(CLEAN(IF(ISERROR(FIND(Y$2,Mail!$A73)),"",MID(Mail!$A73,FIND(Y$2,Mail!$A73)+LEN(Y$2)+1,IF(ISERROR(FIND("■",Mail!$A73,FIND(Y$2,Mail!$A73)+LEN(Y$2))-FIND(Y$2,Mail!$A73)-LEN(Y$2)),LEN(Mail!$A73)-60-FIND(Y$2,Mail!$A73)-LEN(Y$2),FIND("■",Mail!$A73,FIND(Y$2,Mail!$A73)+LEN(Y$2))-FIND(Y$2,Mail!$A73)-LEN(Y$2)-1)))))</f>
        <v/>
      </c>
      <c r="Z75" t="str">
        <f>TRIM(CLEAN(IF(ISERROR(FIND(Z$2,Mail!$A73)),"",MID(Mail!$A73,FIND(Z$2,Mail!$A73)+LEN(Z$2)+1,IF(ISERROR(FIND("■",Mail!$A73,FIND(Z$2,Mail!$A73)+LEN(Z$2))-FIND(Z$2,Mail!$A73)-LEN(Z$2)),LEN(Mail!$A73)-60-FIND(Z$2,Mail!$A73)-LEN(Z$2),FIND("■",Mail!$A73,FIND(Z$2,Mail!$A73)+LEN(Z$2))-FIND(Z$2,Mail!$A73)-LEN(Z$2)-1)))))</f>
        <v/>
      </c>
      <c r="AA75" t="str">
        <f>TRIM(CLEAN(IF(ISERROR(FIND(AA$2,Mail!$A73)),"",MID(Mail!$A73,FIND(AA$2,Mail!$A73)+LEN(AA$2)+1,IF(ISERROR(FIND("■",Mail!$A73,FIND(AA$2,Mail!$A73)+LEN(AA$2))-FIND(AA$2,Mail!$A73)-LEN(AA$2)),LEN(Mail!$A73)-60-FIND(AA$2,Mail!$A73)-LEN(AA$2),FIND("■",Mail!$A73,FIND(AA$2,Mail!$A73)+LEN(AA$2))-FIND(AA$2,Mail!$A73)-LEN(AA$2)-1)))))</f>
        <v/>
      </c>
      <c r="AB75" t="str">
        <f>TRIM(CLEAN(IF(ISERROR(FIND(AB$2,Mail!$A73)),"",MID(Mail!$A73,FIND(AB$2,Mail!$A73)+LEN(AB$2)+1,IF(ISERROR(FIND("■",Mail!$A73,FIND(AB$2,Mail!$A73)+LEN(AB$2))-FIND(AB$2,Mail!$A73)-LEN(AB$2)),LEN(Mail!$A73)-60-FIND(AB$2,Mail!$A73)-LEN(AB$2),FIND("■",Mail!$A73,FIND(AB$2,Mail!$A73)+LEN(AB$2))-FIND(AB$2,Mail!$A73)-LEN(AB$2)-1)))))</f>
        <v/>
      </c>
      <c r="AC75" s="8" t="str">
        <f>TRIM(CLEAN(IF(ISERROR(FIND(AC$2,Mail!$A73)),"",MID(Mail!$A73,FIND(AC$2,Mail!$A73)+LEN(AC$2)+1,IF(ISERROR(FIND("■",Mail!$A73,FIND(AC$2,Mail!$A73)+LEN(AC$2))-FIND(AC$2,Mail!$A73)-LEN(AC$2)),LEN(Mail!$A73)-60-FIND(AC$2,Mail!$A73)-LEN(AC$2),FIND("■",Mail!$A73,FIND(AC$2,Mail!$A73)+LEN(AC$2))-FIND(AC$2,Mail!$A73)-LEN(AC$2)-1)))))</f>
        <v/>
      </c>
      <c r="AD75" t="str">
        <f>TRIM(CLEAN(IF(ISERROR(FIND(AD$2,Mail!$A73)),"",MID(Mail!$A73,FIND(AD$2,Mail!$A73)+LEN(AD$2)+1,IF(ISERROR(FIND("■",Mail!$A73,FIND(AD$2,Mail!$A73)+LEN(AD$2))-FIND(AD$2,Mail!$A73)-LEN(AD$2)),LEN(Mail!$A73)-60-FIND(AD$2,Mail!$A73)-LEN(AD$2),FIND("■",Mail!$A73,FIND(AD$2,Mail!$A73)+LEN(AD$2))-FIND(AD$2,Mail!$A73)-LEN(AD$2)-1)))))</f>
        <v/>
      </c>
      <c r="AE75" t="str">
        <f>TRIM(CLEAN(IF(ISERROR(FIND(AE$2,Mail!$A73)),"",MID(Mail!$A73,FIND(AE$2,Mail!$A73)+LEN(AE$2)+1,IF(ISERROR(FIND("■",Mail!$A73,FIND(AE$2,Mail!$A73)+LEN(AE$2))-FIND(AE$2,Mail!$A73)-LEN(AE$2)),LEN(Mail!$A73)-60-FIND(AE$2,Mail!$A73)-LEN(AE$2),FIND("■",Mail!$A73,FIND(AE$2,Mail!$A73)+LEN(AE$2))-FIND(AE$2,Mail!$A73)-LEN(AE$2)-1)))))</f>
        <v/>
      </c>
      <c r="AF75" t="str">
        <f>TRIM(CLEAN(IF(ISERROR(FIND(AF$2,Mail!$A73)),"",MID(Mail!$A73,FIND(AF$2,Mail!$A73)+LEN(AF$2)+1,IF(ISERROR(FIND("■",Mail!$A73,FIND(AF$2,Mail!$A73)+LEN(AF$2))-FIND(AF$2,Mail!$A73)-LEN(AF$2)),LEN(Mail!$A73)-60-FIND(AF$2,Mail!$A73)-LEN(AF$2),FIND("■",Mail!$A73,FIND(AF$2,Mail!$A73)+LEN(AF$2))-FIND(AF$2,Mail!$A73)-LEN(AF$2)-1)))))</f>
        <v/>
      </c>
      <c r="AG75" t="str">
        <f>TRIM(IF(ISERROR(FIND(AG$2,Mail!$A73)),"",MID(Mail!$A73,FIND(AG$2,Mail!$A73)+LEN(AG$2)+1,IF(ISERROR(FIND("■",Mail!$A73,FIND(AG$2,Mail!$A73)+LEN(AG$2))-FIND(AG$2,Mail!$A73)-LEN(AG$2)),LEN(Mail!$A73)-60-FIND(AG$2,Mail!$A73)-LEN(AG$2),FIND("■",Mail!$A73,FIND(AG$2,Mail!$A73)+LEN(AG$2))-FIND(AG$2,Mail!$A73)-LEN(AG$2)-1))))</f>
        <v/>
      </c>
      <c r="AH75" t="str">
        <f>TRIM(IF(ISERROR(FIND(AH$2,Mail!$A73)),"",MID(Mail!$A73,FIND(AH$2,Mail!$A73)+LEN(AH$2)+1,IF(ISERROR(FIND("■",Mail!$A73,FIND(AH$2,Mail!$A73)+LEN(AH$2))-FIND(AH$2,Mail!$A73)-LEN(AH$2)),LEN(Mail!$A73)-60-FIND(AH$2,Mail!$A73)-LEN(AH$2),FIND("■",Mail!$A73,FIND(AH$2,Mail!$A73)+LEN(AH$2))-FIND(AH$2,Mail!$A73)-LEN(AH$2)-1))))</f>
        <v/>
      </c>
      <c r="AI75" t="str">
        <f>TRIM(IF(ISERROR(FIND(AI$2,Mail!$A73)),"",MID(Mail!$A73,FIND(AI$2,Mail!$A73)+LEN(AI$2)+1,IF(ISERROR(FIND("■",Mail!$A73,FIND(AI$2,Mail!$A73)+LEN(AI$2))-FIND(AI$2,Mail!$A73)-LEN(AI$2)),LEN(Mail!$A73)-60-FIND(AI$2,Mail!$A73)-LEN(AI$2),FIND("■",Mail!$A73,FIND(AI$2,Mail!$A73)+LEN(AI$2))-FIND(AI$2,Mail!$A73)-LEN(AI$2)-1))))</f>
        <v/>
      </c>
    </row>
    <row r="76" spans="1:35" x14ac:dyDescent="0.15">
      <c r="A76" s="9" t="str">
        <f t="shared" si="6"/>
        <v/>
      </c>
      <c r="B76" s="8" t="str">
        <f>CLEAN(SUBSTITUTE(IF(ISERROR(FIND("yokohama",Mail!$A74)),"",MID(Mail!$A74,FIND("yokohama",Mail!$A74)+LEN("yokohama")+1,FIND("件目",Mail!$A74,FIND("yokohama",Mail!$A74))-(FIND("yokohama",Mail!$A74)+LEN("yokohama")+1)))," ",""))</f>
        <v/>
      </c>
      <c r="C76" s="2" t="str">
        <f t="shared" si="5"/>
        <v/>
      </c>
      <c r="D76" s="9" t="str">
        <f t="shared" si="7"/>
        <v/>
      </c>
      <c r="E76" s="8" t="str">
        <f t="shared" si="8"/>
        <v/>
      </c>
      <c r="F76" t="str">
        <f>TRIM(CLEAN(IF(ISERROR(FIND(F$2,Mail!$A74)),"",MID(Mail!$A74,FIND(F$2,Mail!$A74)+LEN(F$2)+1,IF(ISERROR(FIND("■",Mail!$A74,FIND(F$2,Mail!$A74)+LEN(F$2))-FIND(F$2,Mail!$A74)-LEN(F$2)),LEN(Mail!$A74)-60-FIND(F$2,Mail!$A74)-LEN(F$2),FIND("■",Mail!$A74,FIND(F$2,Mail!$A74)+LEN(F$2))-FIND(F$2,Mail!$A74)-LEN(F$2)-1)))))</f>
        <v/>
      </c>
      <c r="G76" t="str">
        <f>TRIM(CLEAN(IF(ISERROR(FIND(G$2,Mail!$A74)),"",MID(Mail!$A74,FIND(G$2,Mail!$A74)+LEN(G$2)+1,IF(ISERROR(FIND("■",Mail!$A74,FIND(G$2,Mail!$A74)+LEN(G$2))-FIND(G$2,Mail!$A74)-LEN(G$2)),LEN(Mail!$A74)-60-FIND(G$2,Mail!$A74)-LEN(G$2),FIND("■",Mail!$A74,FIND(G$2,Mail!$A74)+LEN(G$2))-FIND(G$2,Mail!$A74)-LEN(G$2)-1)))))</f>
        <v/>
      </c>
      <c r="H76" s="8" t="str">
        <f>TRIM(CLEAN(IF(ISERROR(FIND(H$2,Mail!$A74)),"",MID(Mail!$A74,FIND(H$2,Mail!$A74)+LEN(H$2)+1,IF(ISERROR(FIND("■",Mail!$A74,FIND(H$2,Mail!$A74)+LEN(H$2))-FIND(H$2,Mail!$A74)-LEN(H$2)),LEN(Mail!$A74)-60-FIND(H$2,Mail!$A74)-LEN(H$2),FIND("■",Mail!$A74,FIND(H$2,Mail!$A74)+LEN(H$2))-FIND(H$2,Mail!$A74)-LEN(H$2)-1)))))</f>
        <v/>
      </c>
      <c r="I76" t="str">
        <f>TRIM(CLEAN(IF(ISERROR(FIND(I$2,Mail!$A74)),"",MID(Mail!$A74,FIND(I$2,Mail!$A74)+LEN(I$2)+1,IF(ISERROR(FIND("■",Mail!$A74,FIND(I$2,Mail!$A74)+LEN(I$2))-FIND(I$2,Mail!$A74)-LEN(I$2)),LEN(Mail!$A74)-60-FIND(I$2,Mail!$A74)-LEN(I$2),FIND("■",Mail!$A74,FIND(I$2,Mail!$A74)+LEN(I$2))-FIND(I$2,Mail!$A74)-LEN(I$2)-1)))))</f>
        <v/>
      </c>
      <c r="J76" t="str">
        <f>TRIM(IF(ISERROR(FIND(J$2,Mail!$A74)),"",MID(Mail!$A74,FIND(J$2,Mail!$A74)+LEN(J$2)+1,IF(ISERROR(FIND("■",Mail!$A74,FIND(J$2,Mail!$A74)+LEN(J$2))-FIND(J$2,Mail!$A74)-LEN(J$2)),LEN(Mail!$A74)-60-FIND(J$2,Mail!$A74)-LEN(J$2),FIND("■",Mail!$A74,FIND(J$2,Mail!$A74)+LEN(J$2))-FIND(J$2,Mail!$A74)-LEN(J$2)-1))))</f>
        <v/>
      </c>
      <c r="K76" t="str">
        <f>TRIM(IF(ISERROR(FIND(K$2,Mail!$A74)),"",MID(Mail!$A74,FIND(K$2,Mail!$A74)+LEN(K$2)+1,IF(ISERROR(FIND("■",Mail!$A74,FIND(K$2,Mail!$A74)+LEN(K$2))-FIND(K$2,Mail!$A74)-LEN(K$2)),LEN(Mail!$A74)-60-FIND(K$2,Mail!$A74)-LEN(K$2),FIND("■",Mail!$A74,FIND(K$2,Mail!$A74)+LEN(K$2))-FIND(K$2,Mail!$A74)-LEN(K$2)-1))))</f>
        <v/>
      </c>
      <c r="L76" t="str">
        <f>TRIM(IF(ISERROR(FIND(L$2,Mail!$A74)),"",MID(Mail!$A74,FIND(L$2,Mail!$A74)+LEN(L$2)+1,IF(ISERROR(FIND("■",Mail!$A74,FIND(L$2,Mail!$A74)+LEN(L$2))-FIND(L$2,Mail!$A74)-LEN(L$2)),LEN(Mail!$A74)-60-FIND(L$2,Mail!$A74)-LEN(L$2),FIND("■",Mail!$A74,FIND(L$2,Mail!$A74)+LEN(L$2))-FIND(L$2,Mail!$A74)-LEN(L$2)-1))))</f>
        <v/>
      </c>
      <c r="M76" t="str">
        <f>TRIM(CLEAN(IF(ISERROR(FIND(M$2,Mail!$A74)),"",MID(Mail!$A74,FIND(M$2,Mail!$A74)+LEN(M$2)+1,IF(ISERROR(FIND("■",Mail!$A74,FIND(M$2,Mail!$A74)+LEN(M$2))-FIND(M$2,Mail!$A74)-LEN(M$2)),LEN(Mail!$A74)-60-FIND(M$2,Mail!$A74)-LEN(M$2),FIND("■",Mail!$A74,FIND(M$2,Mail!$A74)+LEN(M$2))-FIND(M$2,Mail!$A74)-LEN(M$2)-1)))))</f>
        <v/>
      </c>
      <c r="N76" t="str">
        <f>TRIM(CLEAN(IF(ISERROR(FIND(N$2,Mail!$A74)),"",MID(Mail!$A74,FIND(N$2,Mail!$A74)+LEN(N$2)+1,IF(ISERROR(FIND("■",Mail!$A74,FIND(N$2,Mail!$A74)+LEN(N$2))-FIND(N$2,Mail!$A74)-LEN(N$2)),LEN(Mail!$A74)-60-FIND(N$2,Mail!$A74)-LEN(N$2),FIND("■",Mail!$A74,FIND(N$2,Mail!$A74)+LEN(N$2))-FIND(N$2,Mail!$A74)-LEN(N$2)-1)))))</f>
        <v/>
      </c>
      <c r="O76" t="str">
        <f>TRIM(CLEAN(IF(ISERROR(FIND(O$2,Mail!$A74)),"",MID(Mail!$A74,FIND(O$2,Mail!$A74)+LEN(O$2)+1,IF(ISERROR(FIND("■",Mail!$A74,FIND(O$2,Mail!$A74)+LEN(O$2))-FIND(O$2,Mail!$A74)-LEN(O$2)),LEN(Mail!$A74)-60-FIND(O$2,Mail!$A74)-LEN(O$2),FIND("■",Mail!$A74,FIND(O$2,Mail!$A74)+LEN(O$2))-FIND(O$2,Mail!$A74)-LEN(O$2)-1)))))</f>
        <v/>
      </c>
      <c r="P76" t="str">
        <f>TRIM(CLEAN(IF(ISERROR(FIND(P$2,Mail!$A74)),"",MID(Mail!$A74,FIND(P$2,Mail!$A74)+LEN(P$2)+1,IF(ISERROR(FIND("■",Mail!$A74,FIND(P$2,Mail!$A74)+LEN(P$2))-FIND(P$2,Mail!$A74)-LEN(P$2)),LEN(Mail!$A74)-60-FIND(P$2,Mail!$A74)-LEN(P$2),FIND("■",Mail!$A74,FIND(P$2,Mail!$A74)+LEN(P$2))-FIND(P$2,Mail!$A74)-LEN(P$2)-1)))))</f>
        <v/>
      </c>
      <c r="Q76" t="str">
        <f>TRIM(CLEAN(IF(ISERROR(FIND(Q$2,Mail!$A74)),"",MID(Mail!$A74,FIND(Q$2,Mail!$A74)+LEN(Q$2)+1,IF(ISERROR(FIND("■",Mail!$A74,FIND(Q$2,Mail!$A74)+LEN(Q$2))-FIND(Q$2,Mail!$A74)-LEN(Q$2)),LEN(Mail!$A74)-60-FIND(Q$2,Mail!$A74)-LEN(Q$2),FIND("■",Mail!$A74,FIND(Q$2,Mail!$A74)+LEN(Q$2))-FIND(Q$2,Mail!$A74)-LEN(Q$2)-1)))))</f>
        <v/>
      </c>
      <c r="R76" s="8" t="str">
        <f>TRIM(CLEAN(IF(ISERROR(FIND(R$2,Mail!$A74)),"",MID(Mail!$A74,FIND(R$2,Mail!$A74)+LEN(R$2)+1,IF(ISERROR(FIND("■",Mail!$A74,FIND(R$2,Mail!$A74)+LEN(R$2))-FIND(R$2,Mail!$A74)-LEN(R$2)),LEN(Mail!$A74)-60-FIND(R$2,Mail!$A74)-LEN(R$2),FIND("■",Mail!$A74,FIND(R$2,Mail!$A74)+LEN(R$2))-FIND(R$2,Mail!$A74)-LEN(R$2)-1)))))</f>
        <v/>
      </c>
      <c r="S76" t="str">
        <f>TRIM(CLEAN(IF(ISERROR(FIND(S$2,Mail!$A74)),"",MID(Mail!$A74,FIND(S$2,Mail!$A74)+LEN(S$2)+1,IF(ISERROR(FIND("■",Mail!$A74,FIND(S$2,Mail!$A74)+LEN(S$2))-FIND(S$2,Mail!$A74)-LEN(S$2)),LEN(Mail!$A74)-60-FIND(S$2,Mail!$A74)-LEN(S$2),FIND("■",Mail!$A74,FIND(S$2,Mail!$A74)+LEN(S$2))-FIND(S$2,Mail!$A74)-LEN(S$2)-1)))))</f>
        <v/>
      </c>
      <c r="T76" t="str">
        <f>TRIM(CLEAN(IF(ISERROR(FIND(T$2,Mail!$A74)),"",MID(Mail!$A74,FIND(T$2,Mail!$A74)+LEN(T$2)+1,IF(ISERROR(FIND("■",Mail!$A74,FIND(T$2,Mail!$A74)+LEN(T$2))-FIND(T$2,Mail!$A74)-LEN(T$2)),LEN(Mail!$A74)-60-FIND(T$2,Mail!$A74)-LEN(T$2),FIND("■",Mail!$A74,FIND(T$2,Mail!$A74)+LEN(T$2))-FIND(T$2,Mail!$A74)-LEN(T$2)-1)))))</f>
        <v/>
      </c>
      <c r="U76" t="str">
        <f>TRIM(CLEAN(IF(ISERROR(FIND(U$2,Mail!$A74)),"",MID(Mail!$A74,FIND(U$2,Mail!$A74)+LEN(U$2)+1,IF(ISERROR(FIND("■",Mail!$A74,FIND(U$2,Mail!$A74)+LEN(U$2))-FIND(U$2,Mail!$A74)-LEN(U$2)),LEN(Mail!$A74)-60-FIND(U$2,Mail!$A74)-LEN(U$2),FIND("■",Mail!$A74,FIND(U$2,Mail!$A74)+LEN(U$2))-FIND(U$2,Mail!$A74)-LEN(U$2)-1)))))</f>
        <v/>
      </c>
      <c r="V76" t="str">
        <f>TRIM(CLEAN(IF(ISERROR(FIND(V$2,Mail!$A74)),"",MID(Mail!$A74,FIND(V$2,Mail!$A74)+LEN(V$2)+1,IF(ISERROR(FIND("■",Mail!$A74,FIND(V$2,Mail!$A74)+LEN(V$2))-FIND(V$2,Mail!$A74)-LEN(V$2)),LEN(Mail!$A74)-60-FIND(V$2,Mail!$A74)-LEN(V$2),FIND("■",Mail!$A74,FIND(V$2,Mail!$A74)+LEN(V$2))-FIND(V$2,Mail!$A74)-LEN(V$2)-1)))))</f>
        <v/>
      </c>
      <c r="W76" t="str">
        <f>TRIM(CLEAN(IF(ISERROR(FIND(W$2,Mail!$A74)),"",MID(Mail!$A74,FIND(W$2,Mail!$A74)+LEN(W$2)+1,IF(ISERROR(FIND("■",Mail!$A74,FIND(W$2,Mail!$A74)+LEN(W$2))-FIND(W$2,Mail!$A74)-LEN(W$2)),LEN(Mail!$A74)-60-FIND(W$2,Mail!$A74)-LEN(W$2),FIND("■",Mail!$A74,FIND(W$2,Mail!$A74)+LEN(W$2))-FIND(W$2,Mail!$A74)-LEN(W$2)-1)))))</f>
        <v/>
      </c>
      <c r="X76" t="str">
        <f>TRIM(IF(ISERROR(FIND(X$2,Mail!$A74)),"",MID(Mail!$A74,FIND(X$2,Mail!$A74)+LEN(X$2)+1,IF(ISERROR(FIND("■",Mail!$A74,FIND(X$2,Mail!$A74)+LEN(X$2))-FIND(X$2,Mail!$A74)-LEN(X$2)),LEN(Mail!$A74)-60-FIND(X$2,Mail!$A74)-LEN(X$2),FIND("■",Mail!$A74,FIND(X$2,Mail!$A74)+LEN(X$2))-FIND(X$2,Mail!$A74)-LEN(X$2)-1))))</f>
        <v/>
      </c>
      <c r="Y76" t="str">
        <f>TRIM(CLEAN(IF(ISERROR(FIND(Y$2,Mail!$A74)),"",MID(Mail!$A74,FIND(Y$2,Mail!$A74)+LEN(Y$2)+1,IF(ISERROR(FIND("■",Mail!$A74,FIND(Y$2,Mail!$A74)+LEN(Y$2))-FIND(Y$2,Mail!$A74)-LEN(Y$2)),LEN(Mail!$A74)-60-FIND(Y$2,Mail!$A74)-LEN(Y$2),FIND("■",Mail!$A74,FIND(Y$2,Mail!$A74)+LEN(Y$2))-FIND(Y$2,Mail!$A74)-LEN(Y$2)-1)))))</f>
        <v/>
      </c>
      <c r="Z76" t="str">
        <f>TRIM(CLEAN(IF(ISERROR(FIND(Z$2,Mail!$A74)),"",MID(Mail!$A74,FIND(Z$2,Mail!$A74)+LEN(Z$2)+1,IF(ISERROR(FIND("■",Mail!$A74,FIND(Z$2,Mail!$A74)+LEN(Z$2))-FIND(Z$2,Mail!$A74)-LEN(Z$2)),LEN(Mail!$A74)-60-FIND(Z$2,Mail!$A74)-LEN(Z$2),FIND("■",Mail!$A74,FIND(Z$2,Mail!$A74)+LEN(Z$2))-FIND(Z$2,Mail!$A74)-LEN(Z$2)-1)))))</f>
        <v/>
      </c>
      <c r="AA76" t="str">
        <f>TRIM(CLEAN(IF(ISERROR(FIND(AA$2,Mail!$A74)),"",MID(Mail!$A74,FIND(AA$2,Mail!$A74)+LEN(AA$2)+1,IF(ISERROR(FIND("■",Mail!$A74,FIND(AA$2,Mail!$A74)+LEN(AA$2))-FIND(AA$2,Mail!$A74)-LEN(AA$2)),LEN(Mail!$A74)-60-FIND(AA$2,Mail!$A74)-LEN(AA$2),FIND("■",Mail!$A74,FIND(AA$2,Mail!$A74)+LEN(AA$2))-FIND(AA$2,Mail!$A74)-LEN(AA$2)-1)))))</f>
        <v/>
      </c>
      <c r="AB76" t="str">
        <f>TRIM(CLEAN(IF(ISERROR(FIND(AB$2,Mail!$A74)),"",MID(Mail!$A74,FIND(AB$2,Mail!$A74)+LEN(AB$2)+1,IF(ISERROR(FIND("■",Mail!$A74,FIND(AB$2,Mail!$A74)+LEN(AB$2))-FIND(AB$2,Mail!$A74)-LEN(AB$2)),LEN(Mail!$A74)-60-FIND(AB$2,Mail!$A74)-LEN(AB$2),FIND("■",Mail!$A74,FIND(AB$2,Mail!$A74)+LEN(AB$2))-FIND(AB$2,Mail!$A74)-LEN(AB$2)-1)))))</f>
        <v/>
      </c>
      <c r="AC76" s="8" t="str">
        <f>TRIM(CLEAN(IF(ISERROR(FIND(AC$2,Mail!$A74)),"",MID(Mail!$A74,FIND(AC$2,Mail!$A74)+LEN(AC$2)+1,IF(ISERROR(FIND("■",Mail!$A74,FIND(AC$2,Mail!$A74)+LEN(AC$2))-FIND(AC$2,Mail!$A74)-LEN(AC$2)),LEN(Mail!$A74)-60-FIND(AC$2,Mail!$A74)-LEN(AC$2),FIND("■",Mail!$A74,FIND(AC$2,Mail!$A74)+LEN(AC$2))-FIND(AC$2,Mail!$A74)-LEN(AC$2)-1)))))</f>
        <v/>
      </c>
      <c r="AD76" t="str">
        <f>TRIM(CLEAN(IF(ISERROR(FIND(AD$2,Mail!$A74)),"",MID(Mail!$A74,FIND(AD$2,Mail!$A74)+LEN(AD$2)+1,IF(ISERROR(FIND("■",Mail!$A74,FIND(AD$2,Mail!$A74)+LEN(AD$2))-FIND(AD$2,Mail!$A74)-LEN(AD$2)),LEN(Mail!$A74)-60-FIND(AD$2,Mail!$A74)-LEN(AD$2),FIND("■",Mail!$A74,FIND(AD$2,Mail!$A74)+LEN(AD$2))-FIND(AD$2,Mail!$A74)-LEN(AD$2)-1)))))</f>
        <v/>
      </c>
      <c r="AE76" t="str">
        <f>TRIM(CLEAN(IF(ISERROR(FIND(AE$2,Mail!$A74)),"",MID(Mail!$A74,FIND(AE$2,Mail!$A74)+LEN(AE$2)+1,IF(ISERROR(FIND("■",Mail!$A74,FIND(AE$2,Mail!$A74)+LEN(AE$2))-FIND(AE$2,Mail!$A74)-LEN(AE$2)),LEN(Mail!$A74)-60-FIND(AE$2,Mail!$A74)-LEN(AE$2),FIND("■",Mail!$A74,FIND(AE$2,Mail!$A74)+LEN(AE$2))-FIND(AE$2,Mail!$A74)-LEN(AE$2)-1)))))</f>
        <v/>
      </c>
      <c r="AF76" t="str">
        <f>TRIM(CLEAN(IF(ISERROR(FIND(AF$2,Mail!$A74)),"",MID(Mail!$A74,FIND(AF$2,Mail!$A74)+LEN(AF$2)+1,IF(ISERROR(FIND("■",Mail!$A74,FIND(AF$2,Mail!$A74)+LEN(AF$2))-FIND(AF$2,Mail!$A74)-LEN(AF$2)),LEN(Mail!$A74)-60-FIND(AF$2,Mail!$A74)-LEN(AF$2),FIND("■",Mail!$A74,FIND(AF$2,Mail!$A74)+LEN(AF$2))-FIND(AF$2,Mail!$A74)-LEN(AF$2)-1)))))</f>
        <v/>
      </c>
      <c r="AG76" t="str">
        <f>TRIM(IF(ISERROR(FIND(AG$2,Mail!$A74)),"",MID(Mail!$A74,FIND(AG$2,Mail!$A74)+LEN(AG$2)+1,IF(ISERROR(FIND("■",Mail!$A74,FIND(AG$2,Mail!$A74)+LEN(AG$2))-FIND(AG$2,Mail!$A74)-LEN(AG$2)),LEN(Mail!$A74)-60-FIND(AG$2,Mail!$A74)-LEN(AG$2),FIND("■",Mail!$A74,FIND(AG$2,Mail!$A74)+LEN(AG$2))-FIND(AG$2,Mail!$A74)-LEN(AG$2)-1))))</f>
        <v/>
      </c>
      <c r="AH76" t="str">
        <f>TRIM(IF(ISERROR(FIND(AH$2,Mail!$A74)),"",MID(Mail!$A74,FIND(AH$2,Mail!$A74)+LEN(AH$2)+1,IF(ISERROR(FIND("■",Mail!$A74,FIND(AH$2,Mail!$A74)+LEN(AH$2))-FIND(AH$2,Mail!$A74)-LEN(AH$2)),LEN(Mail!$A74)-60-FIND(AH$2,Mail!$A74)-LEN(AH$2),FIND("■",Mail!$A74,FIND(AH$2,Mail!$A74)+LEN(AH$2))-FIND(AH$2,Mail!$A74)-LEN(AH$2)-1))))</f>
        <v/>
      </c>
      <c r="AI76" t="str">
        <f>TRIM(IF(ISERROR(FIND(AI$2,Mail!$A74)),"",MID(Mail!$A74,FIND(AI$2,Mail!$A74)+LEN(AI$2)+1,IF(ISERROR(FIND("■",Mail!$A74,FIND(AI$2,Mail!$A74)+LEN(AI$2))-FIND(AI$2,Mail!$A74)-LEN(AI$2)),LEN(Mail!$A74)-60-FIND(AI$2,Mail!$A74)-LEN(AI$2),FIND("■",Mail!$A74,FIND(AI$2,Mail!$A74)+LEN(AI$2))-FIND(AI$2,Mail!$A74)-LEN(AI$2)-1))))</f>
        <v/>
      </c>
    </row>
    <row r="77" spans="1:35" x14ac:dyDescent="0.15">
      <c r="A77" s="9" t="str">
        <f t="shared" si="6"/>
        <v/>
      </c>
      <c r="B77" s="8" t="str">
        <f>CLEAN(SUBSTITUTE(IF(ISERROR(FIND("yokohama",Mail!$A75)),"",MID(Mail!$A75,FIND("yokohama",Mail!$A75)+LEN("yokohama")+1,FIND("件目",Mail!$A75,FIND("yokohama",Mail!$A75))-(FIND("yokohama",Mail!$A75)+LEN("yokohama")+1)))," ",""))</f>
        <v/>
      </c>
      <c r="C77" s="2" t="str">
        <f t="shared" si="5"/>
        <v/>
      </c>
      <c r="D77" s="9" t="str">
        <f t="shared" si="7"/>
        <v/>
      </c>
      <c r="E77" s="8" t="str">
        <f t="shared" si="8"/>
        <v/>
      </c>
      <c r="F77" t="str">
        <f>TRIM(CLEAN(IF(ISERROR(FIND(F$2,Mail!$A75)),"",MID(Mail!$A75,FIND(F$2,Mail!$A75)+LEN(F$2)+1,IF(ISERROR(FIND("■",Mail!$A75,FIND(F$2,Mail!$A75)+LEN(F$2))-FIND(F$2,Mail!$A75)-LEN(F$2)),LEN(Mail!$A75)-60-FIND(F$2,Mail!$A75)-LEN(F$2),FIND("■",Mail!$A75,FIND(F$2,Mail!$A75)+LEN(F$2))-FIND(F$2,Mail!$A75)-LEN(F$2)-1)))))</f>
        <v/>
      </c>
      <c r="G77" t="str">
        <f>TRIM(CLEAN(IF(ISERROR(FIND(G$2,Mail!$A75)),"",MID(Mail!$A75,FIND(G$2,Mail!$A75)+LEN(G$2)+1,IF(ISERROR(FIND("■",Mail!$A75,FIND(G$2,Mail!$A75)+LEN(G$2))-FIND(G$2,Mail!$A75)-LEN(G$2)),LEN(Mail!$A75)-60-FIND(G$2,Mail!$A75)-LEN(G$2),FIND("■",Mail!$A75,FIND(G$2,Mail!$A75)+LEN(G$2))-FIND(G$2,Mail!$A75)-LEN(G$2)-1)))))</f>
        <v/>
      </c>
      <c r="H77" s="8" t="str">
        <f>TRIM(CLEAN(IF(ISERROR(FIND(H$2,Mail!$A75)),"",MID(Mail!$A75,FIND(H$2,Mail!$A75)+LEN(H$2)+1,IF(ISERROR(FIND("■",Mail!$A75,FIND(H$2,Mail!$A75)+LEN(H$2))-FIND(H$2,Mail!$A75)-LEN(H$2)),LEN(Mail!$A75)-60-FIND(H$2,Mail!$A75)-LEN(H$2),FIND("■",Mail!$A75,FIND(H$2,Mail!$A75)+LEN(H$2))-FIND(H$2,Mail!$A75)-LEN(H$2)-1)))))</f>
        <v/>
      </c>
      <c r="I77" t="str">
        <f>TRIM(CLEAN(IF(ISERROR(FIND(I$2,Mail!$A75)),"",MID(Mail!$A75,FIND(I$2,Mail!$A75)+LEN(I$2)+1,IF(ISERROR(FIND("■",Mail!$A75,FIND(I$2,Mail!$A75)+LEN(I$2))-FIND(I$2,Mail!$A75)-LEN(I$2)),LEN(Mail!$A75)-60-FIND(I$2,Mail!$A75)-LEN(I$2),FIND("■",Mail!$A75,FIND(I$2,Mail!$A75)+LEN(I$2))-FIND(I$2,Mail!$A75)-LEN(I$2)-1)))))</f>
        <v/>
      </c>
      <c r="J77" t="str">
        <f>TRIM(IF(ISERROR(FIND(J$2,Mail!$A75)),"",MID(Mail!$A75,FIND(J$2,Mail!$A75)+LEN(J$2)+1,IF(ISERROR(FIND("■",Mail!$A75,FIND(J$2,Mail!$A75)+LEN(J$2))-FIND(J$2,Mail!$A75)-LEN(J$2)),LEN(Mail!$A75)-60-FIND(J$2,Mail!$A75)-LEN(J$2),FIND("■",Mail!$A75,FIND(J$2,Mail!$A75)+LEN(J$2))-FIND(J$2,Mail!$A75)-LEN(J$2)-1))))</f>
        <v/>
      </c>
      <c r="K77" t="str">
        <f>TRIM(IF(ISERROR(FIND(K$2,Mail!$A75)),"",MID(Mail!$A75,FIND(K$2,Mail!$A75)+LEN(K$2)+1,IF(ISERROR(FIND("■",Mail!$A75,FIND(K$2,Mail!$A75)+LEN(K$2))-FIND(K$2,Mail!$A75)-LEN(K$2)),LEN(Mail!$A75)-60-FIND(K$2,Mail!$A75)-LEN(K$2),FIND("■",Mail!$A75,FIND(K$2,Mail!$A75)+LEN(K$2))-FIND(K$2,Mail!$A75)-LEN(K$2)-1))))</f>
        <v/>
      </c>
      <c r="L77" t="str">
        <f>TRIM(IF(ISERROR(FIND(L$2,Mail!$A75)),"",MID(Mail!$A75,FIND(L$2,Mail!$A75)+LEN(L$2)+1,IF(ISERROR(FIND("■",Mail!$A75,FIND(L$2,Mail!$A75)+LEN(L$2))-FIND(L$2,Mail!$A75)-LEN(L$2)),LEN(Mail!$A75)-60-FIND(L$2,Mail!$A75)-LEN(L$2),FIND("■",Mail!$A75,FIND(L$2,Mail!$A75)+LEN(L$2))-FIND(L$2,Mail!$A75)-LEN(L$2)-1))))</f>
        <v/>
      </c>
      <c r="M77" t="str">
        <f>TRIM(CLEAN(IF(ISERROR(FIND(M$2,Mail!$A75)),"",MID(Mail!$A75,FIND(M$2,Mail!$A75)+LEN(M$2)+1,IF(ISERROR(FIND("■",Mail!$A75,FIND(M$2,Mail!$A75)+LEN(M$2))-FIND(M$2,Mail!$A75)-LEN(M$2)),LEN(Mail!$A75)-60-FIND(M$2,Mail!$A75)-LEN(M$2),FIND("■",Mail!$A75,FIND(M$2,Mail!$A75)+LEN(M$2))-FIND(M$2,Mail!$A75)-LEN(M$2)-1)))))</f>
        <v/>
      </c>
      <c r="N77" t="str">
        <f>TRIM(CLEAN(IF(ISERROR(FIND(N$2,Mail!$A75)),"",MID(Mail!$A75,FIND(N$2,Mail!$A75)+LEN(N$2)+1,IF(ISERROR(FIND("■",Mail!$A75,FIND(N$2,Mail!$A75)+LEN(N$2))-FIND(N$2,Mail!$A75)-LEN(N$2)),LEN(Mail!$A75)-60-FIND(N$2,Mail!$A75)-LEN(N$2),FIND("■",Mail!$A75,FIND(N$2,Mail!$A75)+LEN(N$2))-FIND(N$2,Mail!$A75)-LEN(N$2)-1)))))</f>
        <v/>
      </c>
      <c r="O77" t="str">
        <f>TRIM(CLEAN(IF(ISERROR(FIND(O$2,Mail!$A75)),"",MID(Mail!$A75,FIND(O$2,Mail!$A75)+LEN(O$2)+1,IF(ISERROR(FIND("■",Mail!$A75,FIND(O$2,Mail!$A75)+LEN(O$2))-FIND(O$2,Mail!$A75)-LEN(O$2)),LEN(Mail!$A75)-60-FIND(O$2,Mail!$A75)-LEN(O$2),FIND("■",Mail!$A75,FIND(O$2,Mail!$A75)+LEN(O$2))-FIND(O$2,Mail!$A75)-LEN(O$2)-1)))))</f>
        <v/>
      </c>
      <c r="P77" t="str">
        <f>TRIM(CLEAN(IF(ISERROR(FIND(P$2,Mail!$A75)),"",MID(Mail!$A75,FIND(P$2,Mail!$A75)+LEN(P$2)+1,IF(ISERROR(FIND("■",Mail!$A75,FIND(P$2,Mail!$A75)+LEN(P$2))-FIND(P$2,Mail!$A75)-LEN(P$2)),LEN(Mail!$A75)-60-FIND(P$2,Mail!$A75)-LEN(P$2),FIND("■",Mail!$A75,FIND(P$2,Mail!$A75)+LEN(P$2))-FIND(P$2,Mail!$A75)-LEN(P$2)-1)))))</f>
        <v/>
      </c>
      <c r="Q77" t="str">
        <f>TRIM(CLEAN(IF(ISERROR(FIND(Q$2,Mail!$A75)),"",MID(Mail!$A75,FIND(Q$2,Mail!$A75)+LEN(Q$2)+1,IF(ISERROR(FIND("■",Mail!$A75,FIND(Q$2,Mail!$A75)+LEN(Q$2))-FIND(Q$2,Mail!$A75)-LEN(Q$2)),LEN(Mail!$A75)-60-FIND(Q$2,Mail!$A75)-LEN(Q$2),FIND("■",Mail!$A75,FIND(Q$2,Mail!$A75)+LEN(Q$2))-FIND(Q$2,Mail!$A75)-LEN(Q$2)-1)))))</f>
        <v/>
      </c>
      <c r="R77" s="8" t="str">
        <f>TRIM(CLEAN(IF(ISERROR(FIND(R$2,Mail!$A75)),"",MID(Mail!$A75,FIND(R$2,Mail!$A75)+LEN(R$2)+1,IF(ISERROR(FIND("■",Mail!$A75,FIND(R$2,Mail!$A75)+LEN(R$2))-FIND(R$2,Mail!$A75)-LEN(R$2)),LEN(Mail!$A75)-60-FIND(R$2,Mail!$A75)-LEN(R$2),FIND("■",Mail!$A75,FIND(R$2,Mail!$A75)+LEN(R$2))-FIND(R$2,Mail!$A75)-LEN(R$2)-1)))))</f>
        <v/>
      </c>
      <c r="S77" t="str">
        <f>TRIM(CLEAN(IF(ISERROR(FIND(S$2,Mail!$A75)),"",MID(Mail!$A75,FIND(S$2,Mail!$A75)+LEN(S$2)+1,IF(ISERROR(FIND("■",Mail!$A75,FIND(S$2,Mail!$A75)+LEN(S$2))-FIND(S$2,Mail!$A75)-LEN(S$2)),LEN(Mail!$A75)-60-FIND(S$2,Mail!$A75)-LEN(S$2),FIND("■",Mail!$A75,FIND(S$2,Mail!$A75)+LEN(S$2))-FIND(S$2,Mail!$A75)-LEN(S$2)-1)))))</f>
        <v/>
      </c>
      <c r="T77" t="str">
        <f>TRIM(CLEAN(IF(ISERROR(FIND(T$2,Mail!$A75)),"",MID(Mail!$A75,FIND(T$2,Mail!$A75)+LEN(T$2)+1,IF(ISERROR(FIND("■",Mail!$A75,FIND(T$2,Mail!$A75)+LEN(T$2))-FIND(T$2,Mail!$A75)-LEN(T$2)),LEN(Mail!$A75)-60-FIND(T$2,Mail!$A75)-LEN(T$2),FIND("■",Mail!$A75,FIND(T$2,Mail!$A75)+LEN(T$2))-FIND(T$2,Mail!$A75)-LEN(T$2)-1)))))</f>
        <v/>
      </c>
      <c r="U77" t="str">
        <f>TRIM(CLEAN(IF(ISERROR(FIND(U$2,Mail!$A75)),"",MID(Mail!$A75,FIND(U$2,Mail!$A75)+LEN(U$2)+1,IF(ISERROR(FIND("■",Mail!$A75,FIND(U$2,Mail!$A75)+LEN(U$2))-FIND(U$2,Mail!$A75)-LEN(U$2)),LEN(Mail!$A75)-60-FIND(U$2,Mail!$A75)-LEN(U$2),FIND("■",Mail!$A75,FIND(U$2,Mail!$A75)+LEN(U$2))-FIND(U$2,Mail!$A75)-LEN(U$2)-1)))))</f>
        <v/>
      </c>
      <c r="V77" t="str">
        <f>TRIM(CLEAN(IF(ISERROR(FIND(V$2,Mail!$A75)),"",MID(Mail!$A75,FIND(V$2,Mail!$A75)+LEN(V$2)+1,IF(ISERROR(FIND("■",Mail!$A75,FIND(V$2,Mail!$A75)+LEN(V$2))-FIND(V$2,Mail!$A75)-LEN(V$2)),LEN(Mail!$A75)-60-FIND(V$2,Mail!$A75)-LEN(V$2),FIND("■",Mail!$A75,FIND(V$2,Mail!$A75)+LEN(V$2))-FIND(V$2,Mail!$A75)-LEN(V$2)-1)))))</f>
        <v/>
      </c>
      <c r="W77" t="str">
        <f>TRIM(CLEAN(IF(ISERROR(FIND(W$2,Mail!$A75)),"",MID(Mail!$A75,FIND(W$2,Mail!$A75)+LEN(W$2)+1,IF(ISERROR(FIND("■",Mail!$A75,FIND(W$2,Mail!$A75)+LEN(W$2))-FIND(W$2,Mail!$A75)-LEN(W$2)),LEN(Mail!$A75)-60-FIND(W$2,Mail!$A75)-LEN(W$2),FIND("■",Mail!$A75,FIND(W$2,Mail!$A75)+LEN(W$2))-FIND(W$2,Mail!$A75)-LEN(W$2)-1)))))</f>
        <v/>
      </c>
      <c r="X77" t="str">
        <f>TRIM(IF(ISERROR(FIND(X$2,Mail!$A75)),"",MID(Mail!$A75,FIND(X$2,Mail!$A75)+LEN(X$2)+1,IF(ISERROR(FIND("■",Mail!$A75,FIND(X$2,Mail!$A75)+LEN(X$2))-FIND(X$2,Mail!$A75)-LEN(X$2)),LEN(Mail!$A75)-60-FIND(X$2,Mail!$A75)-LEN(X$2),FIND("■",Mail!$A75,FIND(X$2,Mail!$A75)+LEN(X$2))-FIND(X$2,Mail!$A75)-LEN(X$2)-1))))</f>
        <v/>
      </c>
      <c r="Y77" t="str">
        <f>TRIM(CLEAN(IF(ISERROR(FIND(Y$2,Mail!$A75)),"",MID(Mail!$A75,FIND(Y$2,Mail!$A75)+LEN(Y$2)+1,IF(ISERROR(FIND("■",Mail!$A75,FIND(Y$2,Mail!$A75)+LEN(Y$2))-FIND(Y$2,Mail!$A75)-LEN(Y$2)),LEN(Mail!$A75)-60-FIND(Y$2,Mail!$A75)-LEN(Y$2),FIND("■",Mail!$A75,FIND(Y$2,Mail!$A75)+LEN(Y$2))-FIND(Y$2,Mail!$A75)-LEN(Y$2)-1)))))</f>
        <v/>
      </c>
      <c r="Z77" t="str">
        <f>TRIM(CLEAN(IF(ISERROR(FIND(Z$2,Mail!$A75)),"",MID(Mail!$A75,FIND(Z$2,Mail!$A75)+LEN(Z$2)+1,IF(ISERROR(FIND("■",Mail!$A75,FIND(Z$2,Mail!$A75)+LEN(Z$2))-FIND(Z$2,Mail!$A75)-LEN(Z$2)),LEN(Mail!$A75)-60-FIND(Z$2,Mail!$A75)-LEN(Z$2),FIND("■",Mail!$A75,FIND(Z$2,Mail!$A75)+LEN(Z$2))-FIND(Z$2,Mail!$A75)-LEN(Z$2)-1)))))</f>
        <v/>
      </c>
      <c r="AA77" t="str">
        <f>TRIM(CLEAN(IF(ISERROR(FIND(AA$2,Mail!$A75)),"",MID(Mail!$A75,FIND(AA$2,Mail!$A75)+LEN(AA$2)+1,IF(ISERROR(FIND("■",Mail!$A75,FIND(AA$2,Mail!$A75)+LEN(AA$2))-FIND(AA$2,Mail!$A75)-LEN(AA$2)),LEN(Mail!$A75)-60-FIND(AA$2,Mail!$A75)-LEN(AA$2),FIND("■",Mail!$A75,FIND(AA$2,Mail!$A75)+LEN(AA$2))-FIND(AA$2,Mail!$A75)-LEN(AA$2)-1)))))</f>
        <v/>
      </c>
      <c r="AB77" t="str">
        <f>TRIM(CLEAN(IF(ISERROR(FIND(AB$2,Mail!$A75)),"",MID(Mail!$A75,FIND(AB$2,Mail!$A75)+LEN(AB$2)+1,IF(ISERROR(FIND("■",Mail!$A75,FIND(AB$2,Mail!$A75)+LEN(AB$2))-FIND(AB$2,Mail!$A75)-LEN(AB$2)),LEN(Mail!$A75)-60-FIND(AB$2,Mail!$A75)-LEN(AB$2),FIND("■",Mail!$A75,FIND(AB$2,Mail!$A75)+LEN(AB$2))-FIND(AB$2,Mail!$A75)-LEN(AB$2)-1)))))</f>
        <v/>
      </c>
      <c r="AC77" s="8" t="str">
        <f>TRIM(CLEAN(IF(ISERROR(FIND(AC$2,Mail!$A75)),"",MID(Mail!$A75,FIND(AC$2,Mail!$A75)+LEN(AC$2)+1,IF(ISERROR(FIND("■",Mail!$A75,FIND(AC$2,Mail!$A75)+LEN(AC$2))-FIND(AC$2,Mail!$A75)-LEN(AC$2)),LEN(Mail!$A75)-60-FIND(AC$2,Mail!$A75)-LEN(AC$2),FIND("■",Mail!$A75,FIND(AC$2,Mail!$A75)+LEN(AC$2))-FIND(AC$2,Mail!$A75)-LEN(AC$2)-1)))))</f>
        <v/>
      </c>
      <c r="AD77" t="str">
        <f>TRIM(CLEAN(IF(ISERROR(FIND(AD$2,Mail!$A75)),"",MID(Mail!$A75,FIND(AD$2,Mail!$A75)+LEN(AD$2)+1,IF(ISERROR(FIND("■",Mail!$A75,FIND(AD$2,Mail!$A75)+LEN(AD$2))-FIND(AD$2,Mail!$A75)-LEN(AD$2)),LEN(Mail!$A75)-60-FIND(AD$2,Mail!$A75)-LEN(AD$2),FIND("■",Mail!$A75,FIND(AD$2,Mail!$A75)+LEN(AD$2))-FIND(AD$2,Mail!$A75)-LEN(AD$2)-1)))))</f>
        <v/>
      </c>
      <c r="AE77" t="str">
        <f>TRIM(CLEAN(IF(ISERROR(FIND(AE$2,Mail!$A75)),"",MID(Mail!$A75,FIND(AE$2,Mail!$A75)+LEN(AE$2)+1,IF(ISERROR(FIND("■",Mail!$A75,FIND(AE$2,Mail!$A75)+LEN(AE$2))-FIND(AE$2,Mail!$A75)-LEN(AE$2)),LEN(Mail!$A75)-60-FIND(AE$2,Mail!$A75)-LEN(AE$2),FIND("■",Mail!$A75,FIND(AE$2,Mail!$A75)+LEN(AE$2))-FIND(AE$2,Mail!$A75)-LEN(AE$2)-1)))))</f>
        <v/>
      </c>
      <c r="AF77" t="str">
        <f>TRIM(CLEAN(IF(ISERROR(FIND(AF$2,Mail!$A75)),"",MID(Mail!$A75,FIND(AF$2,Mail!$A75)+LEN(AF$2)+1,IF(ISERROR(FIND("■",Mail!$A75,FIND(AF$2,Mail!$A75)+LEN(AF$2))-FIND(AF$2,Mail!$A75)-LEN(AF$2)),LEN(Mail!$A75)-60-FIND(AF$2,Mail!$A75)-LEN(AF$2),FIND("■",Mail!$A75,FIND(AF$2,Mail!$A75)+LEN(AF$2))-FIND(AF$2,Mail!$A75)-LEN(AF$2)-1)))))</f>
        <v/>
      </c>
      <c r="AG77" t="str">
        <f>TRIM(IF(ISERROR(FIND(AG$2,Mail!$A75)),"",MID(Mail!$A75,FIND(AG$2,Mail!$A75)+LEN(AG$2)+1,IF(ISERROR(FIND("■",Mail!$A75,FIND(AG$2,Mail!$A75)+LEN(AG$2))-FIND(AG$2,Mail!$A75)-LEN(AG$2)),LEN(Mail!$A75)-60-FIND(AG$2,Mail!$A75)-LEN(AG$2),FIND("■",Mail!$A75,FIND(AG$2,Mail!$A75)+LEN(AG$2))-FIND(AG$2,Mail!$A75)-LEN(AG$2)-1))))</f>
        <v/>
      </c>
      <c r="AH77" t="str">
        <f>TRIM(IF(ISERROR(FIND(AH$2,Mail!$A75)),"",MID(Mail!$A75,FIND(AH$2,Mail!$A75)+LEN(AH$2)+1,IF(ISERROR(FIND("■",Mail!$A75,FIND(AH$2,Mail!$A75)+LEN(AH$2))-FIND(AH$2,Mail!$A75)-LEN(AH$2)),LEN(Mail!$A75)-60-FIND(AH$2,Mail!$A75)-LEN(AH$2),FIND("■",Mail!$A75,FIND(AH$2,Mail!$A75)+LEN(AH$2))-FIND(AH$2,Mail!$A75)-LEN(AH$2)-1))))</f>
        <v/>
      </c>
      <c r="AI77" t="str">
        <f>TRIM(IF(ISERROR(FIND(AI$2,Mail!$A75)),"",MID(Mail!$A75,FIND(AI$2,Mail!$A75)+LEN(AI$2)+1,IF(ISERROR(FIND("■",Mail!$A75,FIND(AI$2,Mail!$A75)+LEN(AI$2))-FIND(AI$2,Mail!$A75)-LEN(AI$2)),LEN(Mail!$A75)-60-FIND(AI$2,Mail!$A75)-LEN(AI$2),FIND("■",Mail!$A75,FIND(AI$2,Mail!$A75)+LEN(AI$2))-FIND(AI$2,Mail!$A75)-LEN(AI$2)-1))))</f>
        <v/>
      </c>
    </row>
    <row r="78" spans="1:35" x14ac:dyDescent="0.15">
      <c r="A78" s="9" t="str">
        <f t="shared" si="6"/>
        <v/>
      </c>
      <c r="B78" s="8" t="str">
        <f>CLEAN(SUBSTITUTE(IF(ISERROR(FIND("yokohama",Mail!$A76)),"",MID(Mail!$A76,FIND("yokohama",Mail!$A76)+LEN("yokohama")+1,FIND("件目",Mail!$A76,FIND("yokohama",Mail!$A76))-(FIND("yokohama",Mail!$A76)+LEN("yokohama")+1)))," ",""))</f>
        <v/>
      </c>
      <c r="C78" s="2" t="str">
        <f t="shared" si="5"/>
        <v/>
      </c>
      <c r="D78" s="9" t="str">
        <f t="shared" si="7"/>
        <v/>
      </c>
      <c r="E78" s="8" t="str">
        <f t="shared" si="8"/>
        <v/>
      </c>
      <c r="F78" t="str">
        <f>TRIM(CLEAN(IF(ISERROR(FIND(F$2,Mail!$A76)),"",MID(Mail!$A76,FIND(F$2,Mail!$A76)+LEN(F$2)+1,IF(ISERROR(FIND("■",Mail!$A76,FIND(F$2,Mail!$A76)+LEN(F$2))-FIND(F$2,Mail!$A76)-LEN(F$2)),LEN(Mail!$A76)-60-FIND(F$2,Mail!$A76)-LEN(F$2),FIND("■",Mail!$A76,FIND(F$2,Mail!$A76)+LEN(F$2))-FIND(F$2,Mail!$A76)-LEN(F$2)-1)))))</f>
        <v/>
      </c>
      <c r="G78" t="str">
        <f>TRIM(CLEAN(IF(ISERROR(FIND(G$2,Mail!$A76)),"",MID(Mail!$A76,FIND(G$2,Mail!$A76)+LEN(G$2)+1,IF(ISERROR(FIND("■",Mail!$A76,FIND(G$2,Mail!$A76)+LEN(G$2))-FIND(G$2,Mail!$A76)-LEN(G$2)),LEN(Mail!$A76)-60-FIND(G$2,Mail!$A76)-LEN(G$2),FIND("■",Mail!$A76,FIND(G$2,Mail!$A76)+LEN(G$2))-FIND(G$2,Mail!$A76)-LEN(G$2)-1)))))</f>
        <v/>
      </c>
      <c r="H78" s="8" t="str">
        <f>TRIM(CLEAN(IF(ISERROR(FIND(H$2,Mail!$A76)),"",MID(Mail!$A76,FIND(H$2,Mail!$A76)+LEN(H$2)+1,IF(ISERROR(FIND("■",Mail!$A76,FIND(H$2,Mail!$A76)+LEN(H$2))-FIND(H$2,Mail!$A76)-LEN(H$2)),LEN(Mail!$A76)-60-FIND(H$2,Mail!$A76)-LEN(H$2),FIND("■",Mail!$A76,FIND(H$2,Mail!$A76)+LEN(H$2))-FIND(H$2,Mail!$A76)-LEN(H$2)-1)))))</f>
        <v/>
      </c>
      <c r="I78" t="str">
        <f>TRIM(CLEAN(IF(ISERROR(FIND(I$2,Mail!$A76)),"",MID(Mail!$A76,FIND(I$2,Mail!$A76)+LEN(I$2)+1,IF(ISERROR(FIND("■",Mail!$A76,FIND(I$2,Mail!$A76)+LEN(I$2))-FIND(I$2,Mail!$A76)-LEN(I$2)),LEN(Mail!$A76)-60-FIND(I$2,Mail!$A76)-LEN(I$2),FIND("■",Mail!$A76,FIND(I$2,Mail!$A76)+LEN(I$2))-FIND(I$2,Mail!$A76)-LEN(I$2)-1)))))</f>
        <v/>
      </c>
      <c r="J78" t="str">
        <f>TRIM(IF(ISERROR(FIND(J$2,Mail!$A76)),"",MID(Mail!$A76,FIND(J$2,Mail!$A76)+LEN(J$2)+1,IF(ISERROR(FIND("■",Mail!$A76,FIND(J$2,Mail!$A76)+LEN(J$2))-FIND(J$2,Mail!$A76)-LEN(J$2)),LEN(Mail!$A76)-60-FIND(J$2,Mail!$A76)-LEN(J$2),FIND("■",Mail!$A76,FIND(J$2,Mail!$A76)+LEN(J$2))-FIND(J$2,Mail!$A76)-LEN(J$2)-1))))</f>
        <v/>
      </c>
      <c r="K78" t="str">
        <f>TRIM(IF(ISERROR(FIND(K$2,Mail!$A76)),"",MID(Mail!$A76,FIND(K$2,Mail!$A76)+LEN(K$2)+1,IF(ISERROR(FIND("■",Mail!$A76,FIND(K$2,Mail!$A76)+LEN(K$2))-FIND(K$2,Mail!$A76)-LEN(K$2)),LEN(Mail!$A76)-60-FIND(K$2,Mail!$A76)-LEN(K$2),FIND("■",Mail!$A76,FIND(K$2,Mail!$A76)+LEN(K$2))-FIND(K$2,Mail!$A76)-LEN(K$2)-1))))</f>
        <v/>
      </c>
      <c r="L78" t="str">
        <f>TRIM(IF(ISERROR(FIND(L$2,Mail!$A76)),"",MID(Mail!$A76,FIND(L$2,Mail!$A76)+LEN(L$2)+1,IF(ISERROR(FIND("■",Mail!$A76,FIND(L$2,Mail!$A76)+LEN(L$2))-FIND(L$2,Mail!$A76)-LEN(L$2)),LEN(Mail!$A76)-60-FIND(L$2,Mail!$A76)-LEN(L$2),FIND("■",Mail!$A76,FIND(L$2,Mail!$A76)+LEN(L$2))-FIND(L$2,Mail!$A76)-LEN(L$2)-1))))</f>
        <v/>
      </c>
      <c r="M78" t="str">
        <f>TRIM(CLEAN(IF(ISERROR(FIND(M$2,Mail!$A76)),"",MID(Mail!$A76,FIND(M$2,Mail!$A76)+LEN(M$2)+1,IF(ISERROR(FIND("■",Mail!$A76,FIND(M$2,Mail!$A76)+LEN(M$2))-FIND(M$2,Mail!$A76)-LEN(M$2)),LEN(Mail!$A76)-60-FIND(M$2,Mail!$A76)-LEN(M$2),FIND("■",Mail!$A76,FIND(M$2,Mail!$A76)+LEN(M$2))-FIND(M$2,Mail!$A76)-LEN(M$2)-1)))))</f>
        <v/>
      </c>
      <c r="N78" t="str">
        <f>TRIM(CLEAN(IF(ISERROR(FIND(N$2,Mail!$A76)),"",MID(Mail!$A76,FIND(N$2,Mail!$A76)+LEN(N$2)+1,IF(ISERROR(FIND("■",Mail!$A76,FIND(N$2,Mail!$A76)+LEN(N$2))-FIND(N$2,Mail!$A76)-LEN(N$2)),LEN(Mail!$A76)-60-FIND(N$2,Mail!$A76)-LEN(N$2),FIND("■",Mail!$A76,FIND(N$2,Mail!$A76)+LEN(N$2))-FIND(N$2,Mail!$A76)-LEN(N$2)-1)))))</f>
        <v/>
      </c>
      <c r="O78" t="str">
        <f>TRIM(CLEAN(IF(ISERROR(FIND(O$2,Mail!$A76)),"",MID(Mail!$A76,FIND(O$2,Mail!$A76)+LEN(O$2)+1,IF(ISERROR(FIND("■",Mail!$A76,FIND(O$2,Mail!$A76)+LEN(O$2))-FIND(O$2,Mail!$A76)-LEN(O$2)),LEN(Mail!$A76)-60-FIND(O$2,Mail!$A76)-LEN(O$2),FIND("■",Mail!$A76,FIND(O$2,Mail!$A76)+LEN(O$2))-FIND(O$2,Mail!$A76)-LEN(O$2)-1)))))</f>
        <v/>
      </c>
      <c r="P78" t="str">
        <f>TRIM(CLEAN(IF(ISERROR(FIND(P$2,Mail!$A76)),"",MID(Mail!$A76,FIND(P$2,Mail!$A76)+LEN(P$2)+1,IF(ISERROR(FIND("■",Mail!$A76,FIND(P$2,Mail!$A76)+LEN(P$2))-FIND(P$2,Mail!$A76)-LEN(P$2)),LEN(Mail!$A76)-60-FIND(P$2,Mail!$A76)-LEN(P$2),FIND("■",Mail!$A76,FIND(P$2,Mail!$A76)+LEN(P$2))-FIND(P$2,Mail!$A76)-LEN(P$2)-1)))))</f>
        <v/>
      </c>
      <c r="Q78" t="str">
        <f>TRIM(CLEAN(IF(ISERROR(FIND(Q$2,Mail!$A76)),"",MID(Mail!$A76,FIND(Q$2,Mail!$A76)+LEN(Q$2)+1,IF(ISERROR(FIND("■",Mail!$A76,FIND(Q$2,Mail!$A76)+LEN(Q$2))-FIND(Q$2,Mail!$A76)-LEN(Q$2)),LEN(Mail!$A76)-60-FIND(Q$2,Mail!$A76)-LEN(Q$2),FIND("■",Mail!$A76,FIND(Q$2,Mail!$A76)+LEN(Q$2))-FIND(Q$2,Mail!$A76)-LEN(Q$2)-1)))))</f>
        <v/>
      </c>
      <c r="R78" s="8" t="str">
        <f>TRIM(CLEAN(IF(ISERROR(FIND(R$2,Mail!$A76)),"",MID(Mail!$A76,FIND(R$2,Mail!$A76)+LEN(R$2)+1,IF(ISERROR(FIND("■",Mail!$A76,FIND(R$2,Mail!$A76)+LEN(R$2))-FIND(R$2,Mail!$A76)-LEN(R$2)),LEN(Mail!$A76)-60-FIND(R$2,Mail!$A76)-LEN(R$2),FIND("■",Mail!$A76,FIND(R$2,Mail!$A76)+LEN(R$2))-FIND(R$2,Mail!$A76)-LEN(R$2)-1)))))</f>
        <v/>
      </c>
      <c r="S78" t="str">
        <f>TRIM(CLEAN(IF(ISERROR(FIND(S$2,Mail!$A76)),"",MID(Mail!$A76,FIND(S$2,Mail!$A76)+LEN(S$2)+1,IF(ISERROR(FIND("■",Mail!$A76,FIND(S$2,Mail!$A76)+LEN(S$2))-FIND(S$2,Mail!$A76)-LEN(S$2)),LEN(Mail!$A76)-60-FIND(S$2,Mail!$A76)-LEN(S$2),FIND("■",Mail!$A76,FIND(S$2,Mail!$A76)+LEN(S$2))-FIND(S$2,Mail!$A76)-LEN(S$2)-1)))))</f>
        <v/>
      </c>
      <c r="T78" t="str">
        <f>TRIM(CLEAN(IF(ISERROR(FIND(T$2,Mail!$A76)),"",MID(Mail!$A76,FIND(T$2,Mail!$A76)+LEN(T$2)+1,IF(ISERROR(FIND("■",Mail!$A76,FIND(T$2,Mail!$A76)+LEN(T$2))-FIND(T$2,Mail!$A76)-LEN(T$2)),LEN(Mail!$A76)-60-FIND(T$2,Mail!$A76)-LEN(T$2),FIND("■",Mail!$A76,FIND(T$2,Mail!$A76)+LEN(T$2))-FIND(T$2,Mail!$A76)-LEN(T$2)-1)))))</f>
        <v/>
      </c>
      <c r="U78" t="str">
        <f>TRIM(CLEAN(IF(ISERROR(FIND(U$2,Mail!$A76)),"",MID(Mail!$A76,FIND(U$2,Mail!$A76)+LEN(U$2)+1,IF(ISERROR(FIND("■",Mail!$A76,FIND(U$2,Mail!$A76)+LEN(U$2))-FIND(U$2,Mail!$A76)-LEN(U$2)),LEN(Mail!$A76)-60-FIND(U$2,Mail!$A76)-LEN(U$2),FIND("■",Mail!$A76,FIND(U$2,Mail!$A76)+LEN(U$2))-FIND(U$2,Mail!$A76)-LEN(U$2)-1)))))</f>
        <v/>
      </c>
      <c r="V78" t="str">
        <f>TRIM(CLEAN(IF(ISERROR(FIND(V$2,Mail!$A76)),"",MID(Mail!$A76,FIND(V$2,Mail!$A76)+LEN(V$2)+1,IF(ISERROR(FIND("■",Mail!$A76,FIND(V$2,Mail!$A76)+LEN(V$2))-FIND(V$2,Mail!$A76)-LEN(V$2)),LEN(Mail!$A76)-60-FIND(V$2,Mail!$A76)-LEN(V$2),FIND("■",Mail!$A76,FIND(V$2,Mail!$A76)+LEN(V$2))-FIND(V$2,Mail!$A76)-LEN(V$2)-1)))))</f>
        <v/>
      </c>
      <c r="W78" t="str">
        <f>TRIM(CLEAN(IF(ISERROR(FIND(W$2,Mail!$A76)),"",MID(Mail!$A76,FIND(W$2,Mail!$A76)+LEN(W$2)+1,IF(ISERROR(FIND("■",Mail!$A76,FIND(W$2,Mail!$A76)+LEN(W$2))-FIND(W$2,Mail!$A76)-LEN(W$2)),LEN(Mail!$A76)-60-FIND(W$2,Mail!$A76)-LEN(W$2),FIND("■",Mail!$A76,FIND(W$2,Mail!$A76)+LEN(W$2))-FIND(W$2,Mail!$A76)-LEN(W$2)-1)))))</f>
        <v/>
      </c>
      <c r="X78" t="str">
        <f>TRIM(IF(ISERROR(FIND(X$2,Mail!$A76)),"",MID(Mail!$A76,FIND(X$2,Mail!$A76)+LEN(X$2)+1,IF(ISERROR(FIND("■",Mail!$A76,FIND(X$2,Mail!$A76)+LEN(X$2))-FIND(X$2,Mail!$A76)-LEN(X$2)),LEN(Mail!$A76)-60-FIND(X$2,Mail!$A76)-LEN(X$2),FIND("■",Mail!$A76,FIND(X$2,Mail!$A76)+LEN(X$2))-FIND(X$2,Mail!$A76)-LEN(X$2)-1))))</f>
        <v/>
      </c>
      <c r="Y78" t="str">
        <f>TRIM(CLEAN(IF(ISERROR(FIND(Y$2,Mail!$A76)),"",MID(Mail!$A76,FIND(Y$2,Mail!$A76)+LEN(Y$2)+1,IF(ISERROR(FIND("■",Mail!$A76,FIND(Y$2,Mail!$A76)+LEN(Y$2))-FIND(Y$2,Mail!$A76)-LEN(Y$2)),LEN(Mail!$A76)-60-FIND(Y$2,Mail!$A76)-LEN(Y$2),FIND("■",Mail!$A76,FIND(Y$2,Mail!$A76)+LEN(Y$2))-FIND(Y$2,Mail!$A76)-LEN(Y$2)-1)))))</f>
        <v/>
      </c>
      <c r="Z78" t="str">
        <f>TRIM(CLEAN(IF(ISERROR(FIND(Z$2,Mail!$A76)),"",MID(Mail!$A76,FIND(Z$2,Mail!$A76)+LEN(Z$2)+1,IF(ISERROR(FIND("■",Mail!$A76,FIND(Z$2,Mail!$A76)+LEN(Z$2))-FIND(Z$2,Mail!$A76)-LEN(Z$2)),LEN(Mail!$A76)-60-FIND(Z$2,Mail!$A76)-LEN(Z$2),FIND("■",Mail!$A76,FIND(Z$2,Mail!$A76)+LEN(Z$2))-FIND(Z$2,Mail!$A76)-LEN(Z$2)-1)))))</f>
        <v/>
      </c>
      <c r="AA78" t="str">
        <f>TRIM(CLEAN(IF(ISERROR(FIND(AA$2,Mail!$A76)),"",MID(Mail!$A76,FIND(AA$2,Mail!$A76)+LEN(AA$2)+1,IF(ISERROR(FIND("■",Mail!$A76,FIND(AA$2,Mail!$A76)+LEN(AA$2))-FIND(AA$2,Mail!$A76)-LEN(AA$2)),LEN(Mail!$A76)-60-FIND(AA$2,Mail!$A76)-LEN(AA$2),FIND("■",Mail!$A76,FIND(AA$2,Mail!$A76)+LEN(AA$2))-FIND(AA$2,Mail!$A76)-LEN(AA$2)-1)))))</f>
        <v/>
      </c>
      <c r="AB78" t="str">
        <f>TRIM(CLEAN(IF(ISERROR(FIND(AB$2,Mail!$A76)),"",MID(Mail!$A76,FIND(AB$2,Mail!$A76)+LEN(AB$2)+1,IF(ISERROR(FIND("■",Mail!$A76,FIND(AB$2,Mail!$A76)+LEN(AB$2))-FIND(AB$2,Mail!$A76)-LEN(AB$2)),LEN(Mail!$A76)-60-FIND(AB$2,Mail!$A76)-LEN(AB$2),FIND("■",Mail!$A76,FIND(AB$2,Mail!$A76)+LEN(AB$2))-FIND(AB$2,Mail!$A76)-LEN(AB$2)-1)))))</f>
        <v/>
      </c>
      <c r="AC78" s="8" t="str">
        <f>TRIM(CLEAN(IF(ISERROR(FIND(AC$2,Mail!$A76)),"",MID(Mail!$A76,FIND(AC$2,Mail!$A76)+LEN(AC$2)+1,IF(ISERROR(FIND("■",Mail!$A76,FIND(AC$2,Mail!$A76)+LEN(AC$2))-FIND(AC$2,Mail!$A76)-LEN(AC$2)),LEN(Mail!$A76)-60-FIND(AC$2,Mail!$A76)-LEN(AC$2),FIND("■",Mail!$A76,FIND(AC$2,Mail!$A76)+LEN(AC$2))-FIND(AC$2,Mail!$A76)-LEN(AC$2)-1)))))</f>
        <v/>
      </c>
      <c r="AD78" t="str">
        <f>TRIM(CLEAN(IF(ISERROR(FIND(AD$2,Mail!$A76)),"",MID(Mail!$A76,FIND(AD$2,Mail!$A76)+LEN(AD$2)+1,IF(ISERROR(FIND("■",Mail!$A76,FIND(AD$2,Mail!$A76)+LEN(AD$2))-FIND(AD$2,Mail!$A76)-LEN(AD$2)),LEN(Mail!$A76)-60-FIND(AD$2,Mail!$A76)-LEN(AD$2),FIND("■",Mail!$A76,FIND(AD$2,Mail!$A76)+LEN(AD$2))-FIND(AD$2,Mail!$A76)-LEN(AD$2)-1)))))</f>
        <v/>
      </c>
      <c r="AE78" t="str">
        <f>TRIM(CLEAN(IF(ISERROR(FIND(AE$2,Mail!$A76)),"",MID(Mail!$A76,FIND(AE$2,Mail!$A76)+LEN(AE$2)+1,IF(ISERROR(FIND("■",Mail!$A76,FIND(AE$2,Mail!$A76)+LEN(AE$2))-FIND(AE$2,Mail!$A76)-LEN(AE$2)),LEN(Mail!$A76)-60-FIND(AE$2,Mail!$A76)-LEN(AE$2),FIND("■",Mail!$A76,FIND(AE$2,Mail!$A76)+LEN(AE$2))-FIND(AE$2,Mail!$A76)-LEN(AE$2)-1)))))</f>
        <v/>
      </c>
      <c r="AF78" t="str">
        <f>TRIM(CLEAN(IF(ISERROR(FIND(AF$2,Mail!$A76)),"",MID(Mail!$A76,FIND(AF$2,Mail!$A76)+LEN(AF$2)+1,IF(ISERROR(FIND("■",Mail!$A76,FIND(AF$2,Mail!$A76)+LEN(AF$2))-FIND(AF$2,Mail!$A76)-LEN(AF$2)),LEN(Mail!$A76)-60-FIND(AF$2,Mail!$A76)-LEN(AF$2),FIND("■",Mail!$A76,FIND(AF$2,Mail!$A76)+LEN(AF$2))-FIND(AF$2,Mail!$A76)-LEN(AF$2)-1)))))</f>
        <v/>
      </c>
      <c r="AG78" t="str">
        <f>TRIM(IF(ISERROR(FIND(AG$2,Mail!$A76)),"",MID(Mail!$A76,FIND(AG$2,Mail!$A76)+LEN(AG$2)+1,IF(ISERROR(FIND("■",Mail!$A76,FIND(AG$2,Mail!$A76)+LEN(AG$2))-FIND(AG$2,Mail!$A76)-LEN(AG$2)),LEN(Mail!$A76)-60-FIND(AG$2,Mail!$A76)-LEN(AG$2),FIND("■",Mail!$A76,FIND(AG$2,Mail!$A76)+LEN(AG$2))-FIND(AG$2,Mail!$A76)-LEN(AG$2)-1))))</f>
        <v/>
      </c>
      <c r="AH78" t="str">
        <f>TRIM(IF(ISERROR(FIND(AH$2,Mail!$A76)),"",MID(Mail!$A76,FIND(AH$2,Mail!$A76)+LEN(AH$2)+1,IF(ISERROR(FIND("■",Mail!$A76,FIND(AH$2,Mail!$A76)+LEN(AH$2))-FIND(AH$2,Mail!$A76)-LEN(AH$2)),LEN(Mail!$A76)-60-FIND(AH$2,Mail!$A76)-LEN(AH$2),FIND("■",Mail!$A76,FIND(AH$2,Mail!$A76)+LEN(AH$2))-FIND(AH$2,Mail!$A76)-LEN(AH$2)-1))))</f>
        <v/>
      </c>
      <c r="AI78" t="str">
        <f>TRIM(IF(ISERROR(FIND(AI$2,Mail!$A76)),"",MID(Mail!$A76,FIND(AI$2,Mail!$A76)+LEN(AI$2)+1,IF(ISERROR(FIND("■",Mail!$A76,FIND(AI$2,Mail!$A76)+LEN(AI$2))-FIND(AI$2,Mail!$A76)-LEN(AI$2)),LEN(Mail!$A76)-60-FIND(AI$2,Mail!$A76)-LEN(AI$2),FIND("■",Mail!$A76,FIND(AI$2,Mail!$A76)+LEN(AI$2))-FIND(AI$2,Mail!$A76)-LEN(AI$2)-1))))</f>
        <v/>
      </c>
    </row>
    <row r="79" spans="1:35" x14ac:dyDescent="0.15">
      <c r="A79" s="9" t="str">
        <f t="shared" si="6"/>
        <v/>
      </c>
      <c r="B79" s="8" t="str">
        <f>CLEAN(SUBSTITUTE(IF(ISERROR(FIND("yokohama",Mail!$A77)),"",MID(Mail!$A77,FIND("yokohama",Mail!$A77)+LEN("yokohama")+1,FIND("件目",Mail!$A77,FIND("yokohama",Mail!$A77))-(FIND("yokohama",Mail!$A77)+LEN("yokohama")+1)))," ",""))</f>
        <v/>
      </c>
      <c r="C79" s="2" t="str">
        <f t="shared" si="5"/>
        <v/>
      </c>
      <c r="D79" s="9" t="str">
        <f t="shared" si="7"/>
        <v/>
      </c>
      <c r="E79" s="8" t="str">
        <f t="shared" si="8"/>
        <v/>
      </c>
      <c r="F79" t="str">
        <f>TRIM(CLEAN(IF(ISERROR(FIND(F$2,Mail!$A77)),"",MID(Mail!$A77,FIND(F$2,Mail!$A77)+LEN(F$2)+1,IF(ISERROR(FIND("■",Mail!$A77,FIND(F$2,Mail!$A77)+LEN(F$2))-FIND(F$2,Mail!$A77)-LEN(F$2)),LEN(Mail!$A77)-60-FIND(F$2,Mail!$A77)-LEN(F$2),FIND("■",Mail!$A77,FIND(F$2,Mail!$A77)+LEN(F$2))-FIND(F$2,Mail!$A77)-LEN(F$2)-1)))))</f>
        <v/>
      </c>
      <c r="G79" t="str">
        <f>TRIM(CLEAN(IF(ISERROR(FIND(G$2,Mail!$A77)),"",MID(Mail!$A77,FIND(G$2,Mail!$A77)+LEN(G$2)+1,IF(ISERROR(FIND("■",Mail!$A77,FIND(G$2,Mail!$A77)+LEN(G$2))-FIND(G$2,Mail!$A77)-LEN(G$2)),LEN(Mail!$A77)-60-FIND(G$2,Mail!$A77)-LEN(G$2),FIND("■",Mail!$A77,FIND(G$2,Mail!$A77)+LEN(G$2))-FIND(G$2,Mail!$A77)-LEN(G$2)-1)))))</f>
        <v/>
      </c>
      <c r="H79" s="8" t="str">
        <f>TRIM(CLEAN(IF(ISERROR(FIND(H$2,Mail!$A77)),"",MID(Mail!$A77,FIND(H$2,Mail!$A77)+LEN(H$2)+1,IF(ISERROR(FIND("■",Mail!$A77,FIND(H$2,Mail!$A77)+LEN(H$2))-FIND(H$2,Mail!$A77)-LEN(H$2)),LEN(Mail!$A77)-60-FIND(H$2,Mail!$A77)-LEN(H$2),FIND("■",Mail!$A77,FIND(H$2,Mail!$A77)+LEN(H$2))-FIND(H$2,Mail!$A77)-LEN(H$2)-1)))))</f>
        <v/>
      </c>
      <c r="I79" t="str">
        <f>TRIM(CLEAN(IF(ISERROR(FIND(I$2,Mail!$A77)),"",MID(Mail!$A77,FIND(I$2,Mail!$A77)+LEN(I$2)+1,IF(ISERROR(FIND("■",Mail!$A77,FIND(I$2,Mail!$A77)+LEN(I$2))-FIND(I$2,Mail!$A77)-LEN(I$2)),LEN(Mail!$A77)-60-FIND(I$2,Mail!$A77)-LEN(I$2),FIND("■",Mail!$A77,FIND(I$2,Mail!$A77)+LEN(I$2))-FIND(I$2,Mail!$A77)-LEN(I$2)-1)))))</f>
        <v/>
      </c>
      <c r="J79" t="str">
        <f>TRIM(IF(ISERROR(FIND(J$2,Mail!$A77)),"",MID(Mail!$A77,FIND(J$2,Mail!$A77)+LEN(J$2)+1,IF(ISERROR(FIND("■",Mail!$A77,FIND(J$2,Mail!$A77)+LEN(J$2))-FIND(J$2,Mail!$A77)-LEN(J$2)),LEN(Mail!$A77)-60-FIND(J$2,Mail!$A77)-LEN(J$2),FIND("■",Mail!$A77,FIND(J$2,Mail!$A77)+LEN(J$2))-FIND(J$2,Mail!$A77)-LEN(J$2)-1))))</f>
        <v/>
      </c>
      <c r="K79" t="str">
        <f>TRIM(IF(ISERROR(FIND(K$2,Mail!$A77)),"",MID(Mail!$A77,FIND(K$2,Mail!$A77)+LEN(K$2)+1,IF(ISERROR(FIND("■",Mail!$A77,FIND(K$2,Mail!$A77)+LEN(K$2))-FIND(K$2,Mail!$A77)-LEN(K$2)),LEN(Mail!$A77)-60-FIND(K$2,Mail!$A77)-LEN(K$2),FIND("■",Mail!$A77,FIND(K$2,Mail!$A77)+LEN(K$2))-FIND(K$2,Mail!$A77)-LEN(K$2)-1))))</f>
        <v/>
      </c>
      <c r="L79" t="str">
        <f>TRIM(IF(ISERROR(FIND(L$2,Mail!$A77)),"",MID(Mail!$A77,FIND(L$2,Mail!$A77)+LEN(L$2)+1,IF(ISERROR(FIND("■",Mail!$A77,FIND(L$2,Mail!$A77)+LEN(L$2))-FIND(L$2,Mail!$A77)-LEN(L$2)),LEN(Mail!$A77)-60-FIND(L$2,Mail!$A77)-LEN(L$2),FIND("■",Mail!$A77,FIND(L$2,Mail!$A77)+LEN(L$2))-FIND(L$2,Mail!$A77)-LEN(L$2)-1))))</f>
        <v/>
      </c>
      <c r="M79" t="str">
        <f>TRIM(CLEAN(IF(ISERROR(FIND(M$2,Mail!$A77)),"",MID(Mail!$A77,FIND(M$2,Mail!$A77)+LEN(M$2)+1,IF(ISERROR(FIND("■",Mail!$A77,FIND(M$2,Mail!$A77)+LEN(M$2))-FIND(M$2,Mail!$A77)-LEN(M$2)),LEN(Mail!$A77)-60-FIND(M$2,Mail!$A77)-LEN(M$2),FIND("■",Mail!$A77,FIND(M$2,Mail!$A77)+LEN(M$2))-FIND(M$2,Mail!$A77)-LEN(M$2)-1)))))</f>
        <v/>
      </c>
      <c r="N79" t="str">
        <f>TRIM(CLEAN(IF(ISERROR(FIND(N$2,Mail!$A77)),"",MID(Mail!$A77,FIND(N$2,Mail!$A77)+LEN(N$2)+1,IF(ISERROR(FIND("■",Mail!$A77,FIND(N$2,Mail!$A77)+LEN(N$2))-FIND(N$2,Mail!$A77)-LEN(N$2)),LEN(Mail!$A77)-60-FIND(N$2,Mail!$A77)-LEN(N$2),FIND("■",Mail!$A77,FIND(N$2,Mail!$A77)+LEN(N$2))-FIND(N$2,Mail!$A77)-LEN(N$2)-1)))))</f>
        <v/>
      </c>
      <c r="O79" t="str">
        <f>TRIM(CLEAN(IF(ISERROR(FIND(O$2,Mail!$A77)),"",MID(Mail!$A77,FIND(O$2,Mail!$A77)+LEN(O$2)+1,IF(ISERROR(FIND("■",Mail!$A77,FIND(O$2,Mail!$A77)+LEN(O$2))-FIND(O$2,Mail!$A77)-LEN(O$2)),LEN(Mail!$A77)-60-FIND(O$2,Mail!$A77)-LEN(O$2),FIND("■",Mail!$A77,FIND(O$2,Mail!$A77)+LEN(O$2))-FIND(O$2,Mail!$A77)-LEN(O$2)-1)))))</f>
        <v/>
      </c>
      <c r="P79" t="str">
        <f>TRIM(CLEAN(IF(ISERROR(FIND(P$2,Mail!$A77)),"",MID(Mail!$A77,FIND(P$2,Mail!$A77)+LEN(P$2)+1,IF(ISERROR(FIND("■",Mail!$A77,FIND(P$2,Mail!$A77)+LEN(P$2))-FIND(P$2,Mail!$A77)-LEN(P$2)),LEN(Mail!$A77)-60-FIND(P$2,Mail!$A77)-LEN(P$2),FIND("■",Mail!$A77,FIND(P$2,Mail!$A77)+LEN(P$2))-FIND(P$2,Mail!$A77)-LEN(P$2)-1)))))</f>
        <v/>
      </c>
      <c r="Q79" t="str">
        <f>TRIM(CLEAN(IF(ISERROR(FIND(Q$2,Mail!$A77)),"",MID(Mail!$A77,FIND(Q$2,Mail!$A77)+LEN(Q$2)+1,IF(ISERROR(FIND("■",Mail!$A77,FIND(Q$2,Mail!$A77)+LEN(Q$2))-FIND(Q$2,Mail!$A77)-LEN(Q$2)),LEN(Mail!$A77)-60-FIND(Q$2,Mail!$A77)-LEN(Q$2),FIND("■",Mail!$A77,FIND(Q$2,Mail!$A77)+LEN(Q$2))-FIND(Q$2,Mail!$A77)-LEN(Q$2)-1)))))</f>
        <v/>
      </c>
      <c r="R79" s="8" t="str">
        <f>TRIM(CLEAN(IF(ISERROR(FIND(R$2,Mail!$A77)),"",MID(Mail!$A77,FIND(R$2,Mail!$A77)+LEN(R$2)+1,IF(ISERROR(FIND("■",Mail!$A77,FIND(R$2,Mail!$A77)+LEN(R$2))-FIND(R$2,Mail!$A77)-LEN(R$2)),LEN(Mail!$A77)-60-FIND(R$2,Mail!$A77)-LEN(R$2),FIND("■",Mail!$A77,FIND(R$2,Mail!$A77)+LEN(R$2))-FIND(R$2,Mail!$A77)-LEN(R$2)-1)))))</f>
        <v/>
      </c>
      <c r="S79" t="str">
        <f>TRIM(CLEAN(IF(ISERROR(FIND(S$2,Mail!$A77)),"",MID(Mail!$A77,FIND(S$2,Mail!$A77)+LEN(S$2)+1,IF(ISERROR(FIND("■",Mail!$A77,FIND(S$2,Mail!$A77)+LEN(S$2))-FIND(S$2,Mail!$A77)-LEN(S$2)),LEN(Mail!$A77)-60-FIND(S$2,Mail!$A77)-LEN(S$2),FIND("■",Mail!$A77,FIND(S$2,Mail!$A77)+LEN(S$2))-FIND(S$2,Mail!$A77)-LEN(S$2)-1)))))</f>
        <v/>
      </c>
      <c r="T79" t="str">
        <f>TRIM(CLEAN(IF(ISERROR(FIND(T$2,Mail!$A77)),"",MID(Mail!$A77,FIND(T$2,Mail!$A77)+LEN(T$2)+1,IF(ISERROR(FIND("■",Mail!$A77,FIND(T$2,Mail!$A77)+LEN(T$2))-FIND(T$2,Mail!$A77)-LEN(T$2)),LEN(Mail!$A77)-60-FIND(T$2,Mail!$A77)-LEN(T$2),FIND("■",Mail!$A77,FIND(T$2,Mail!$A77)+LEN(T$2))-FIND(T$2,Mail!$A77)-LEN(T$2)-1)))))</f>
        <v/>
      </c>
      <c r="U79" t="str">
        <f>TRIM(CLEAN(IF(ISERROR(FIND(U$2,Mail!$A77)),"",MID(Mail!$A77,FIND(U$2,Mail!$A77)+LEN(U$2)+1,IF(ISERROR(FIND("■",Mail!$A77,FIND(U$2,Mail!$A77)+LEN(U$2))-FIND(U$2,Mail!$A77)-LEN(U$2)),LEN(Mail!$A77)-60-FIND(U$2,Mail!$A77)-LEN(U$2),FIND("■",Mail!$A77,FIND(U$2,Mail!$A77)+LEN(U$2))-FIND(U$2,Mail!$A77)-LEN(U$2)-1)))))</f>
        <v/>
      </c>
      <c r="V79" t="str">
        <f>TRIM(CLEAN(IF(ISERROR(FIND(V$2,Mail!$A77)),"",MID(Mail!$A77,FIND(V$2,Mail!$A77)+LEN(V$2)+1,IF(ISERROR(FIND("■",Mail!$A77,FIND(V$2,Mail!$A77)+LEN(V$2))-FIND(V$2,Mail!$A77)-LEN(V$2)),LEN(Mail!$A77)-60-FIND(V$2,Mail!$A77)-LEN(V$2),FIND("■",Mail!$A77,FIND(V$2,Mail!$A77)+LEN(V$2))-FIND(V$2,Mail!$A77)-LEN(V$2)-1)))))</f>
        <v/>
      </c>
      <c r="W79" t="str">
        <f>TRIM(CLEAN(IF(ISERROR(FIND(W$2,Mail!$A77)),"",MID(Mail!$A77,FIND(W$2,Mail!$A77)+LEN(W$2)+1,IF(ISERROR(FIND("■",Mail!$A77,FIND(W$2,Mail!$A77)+LEN(W$2))-FIND(W$2,Mail!$A77)-LEN(W$2)),LEN(Mail!$A77)-60-FIND(W$2,Mail!$A77)-LEN(W$2),FIND("■",Mail!$A77,FIND(W$2,Mail!$A77)+LEN(W$2))-FIND(W$2,Mail!$A77)-LEN(W$2)-1)))))</f>
        <v/>
      </c>
      <c r="X79" t="str">
        <f>TRIM(IF(ISERROR(FIND(X$2,Mail!$A77)),"",MID(Mail!$A77,FIND(X$2,Mail!$A77)+LEN(X$2)+1,IF(ISERROR(FIND("■",Mail!$A77,FIND(X$2,Mail!$A77)+LEN(X$2))-FIND(X$2,Mail!$A77)-LEN(X$2)),LEN(Mail!$A77)-60-FIND(X$2,Mail!$A77)-LEN(X$2),FIND("■",Mail!$A77,FIND(X$2,Mail!$A77)+LEN(X$2))-FIND(X$2,Mail!$A77)-LEN(X$2)-1))))</f>
        <v/>
      </c>
      <c r="Y79" t="str">
        <f>TRIM(CLEAN(IF(ISERROR(FIND(Y$2,Mail!$A77)),"",MID(Mail!$A77,FIND(Y$2,Mail!$A77)+LEN(Y$2)+1,IF(ISERROR(FIND("■",Mail!$A77,FIND(Y$2,Mail!$A77)+LEN(Y$2))-FIND(Y$2,Mail!$A77)-LEN(Y$2)),LEN(Mail!$A77)-60-FIND(Y$2,Mail!$A77)-LEN(Y$2),FIND("■",Mail!$A77,FIND(Y$2,Mail!$A77)+LEN(Y$2))-FIND(Y$2,Mail!$A77)-LEN(Y$2)-1)))))</f>
        <v/>
      </c>
      <c r="Z79" t="str">
        <f>TRIM(CLEAN(IF(ISERROR(FIND(Z$2,Mail!$A77)),"",MID(Mail!$A77,FIND(Z$2,Mail!$A77)+LEN(Z$2)+1,IF(ISERROR(FIND("■",Mail!$A77,FIND(Z$2,Mail!$A77)+LEN(Z$2))-FIND(Z$2,Mail!$A77)-LEN(Z$2)),LEN(Mail!$A77)-60-FIND(Z$2,Mail!$A77)-LEN(Z$2),FIND("■",Mail!$A77,FIND(Z$2,Mail!$A77)+LEN(Z$2))-FIND(Z$2,Mail!$A77)-LEN(Z$2)-1)))))</f>
        <v/>
      </c>
      <c r="AA79" t="str">
        <f>TRIM(CLEAN(IF(ISERROR(FIND(AA$2,Mail!$A77)),"",MID(Mail!$A77,FIND(AA$2,Mail!$A77)+LEN(AA$2)+1,IF(ISERROR(FIND("■",Mail!$A77,FIND(AA$2,Mail!$A77)+LEN(AA$2))-FIND(AA$2,Mail!$A77)-LEN(AA$2)),LEN(Mail!$A77)-60-FIND(AA$2,Mail!$A77)-LEN(AA$2),FIND("■",Mail!$A77,FIND(AA$2,Mail!$A77)+LEN(AA$2))-FIND(AA$2,Mail!$A77)-LEN(AA$2)-1)))))</f>
        <v/>
      </c>
      <c r="AB79" t="str">
        <f>TRIM(CLEAN(IF(ISERROR(FIND(AB$2,Mail!$A77)),"",MID(Mail!$A77,FIND(AB$2,Mail!$A77)+LEN(AB$2)+1,IF(ISERROR(FIND("■",Mail!$A77,FIND(AB$2,Mail!$A77)+LEN(AB$2))-FIND(AB$2,Mail!$A77)-LEN(AB$2)),LEN(Mail!$A77)-60-FIND(AB$2,Mail!$A77)-LEN(AB$2),FIND("■",Mail!$A77,FIND(AB$2,Mail!$A77)+LEN(AB$2))-FIND(AB$2,Mail!$A77)-LEN(AB$2)-1)))))</f>
        <v/>
      </c>
      <c r="AC79" s="8" t="str">
        <f>TRIM(CLEAN(IF(ISERROR(FIND(AC$2,Mail!$A77)),"",MID(Mail!$A77,FIND(AC$2,Mail!$A77)+LEN(AC$2)+1,IF(ISERROR(FIND("■",Mail!$A77,FIND(AC$2,Mail!$A77)+LEN(AC$2))-FIND(AC$2,Mail!$A77)-LEN(AC$2)),LEN(Mail!$A77)-60-FIND(AC$2,Mail!$A77)-LEN(AC$2),FIND("■",Mail!$A77,FIND(AC$2,Mail!$A77)+LEN(AC$2))-FIND(AC$2,Mail!$A77)-LEN(AC$2)-1)))))</f>
        <v/>
      </c>
      <c r="AD79" t="str">
        <f>TRIM(CLEAN(IF(ISERROR(FIND(AD$2,Mail!$A77)),"",MID(Mail!$A77,FIND(AD$2,Mail!$A77)+LEN(AD$2)+1,IF(ISERROR(FIND("■",Mail!$A77,FIND(AD$2,Mail!$A77)+LEN(AD$2))-FIND(AD$2,Mail!$A77)-LEN(AD$2)),LEN(Mail!$A77)-60-FIND(AD$2,Mail!$A77)-LEN(AD$2),FIND("■",Mail!$A77,FIND(AD$2,Mail!$A77)+LEN(AD$2))-FIND(AD$2,Mail!$A77)-LEN(AD$2)-1)))))</f>
        <v/>
      </c>
      <c r="AE79" t="str">
        <f>TRIM(CLEAN(IF(ISERROR(FIND(AE$2,Mail!$A77)),"",MID(Mail!$A77,FIND(AE$2,Mail!$A77)+LEN(AE$2)+1,IF(ISERROR(FIND("■",Mail!$A77,FIND(AE$2,Mail!$A77)+LEN(AE$2))-FIND(AE$2,Mail!$A77)-LEN(AE$2)),LEN(Mail!$A77)-60-FIND(AE$2,Mail!$A77)-LEN(AE$2),FIND("■",Mail!$A77,FIND(AE$2,Mail!$A77)+LEN(AE$2))-FIND(AE$2,Mail!$A77)-LEN(AE$2)-1)))))</f>
        <v/>
      </c>
      <c r="AF79" t="str">
        <f>TRIM(CLEAN(IF(ISERROR(FIND(AF$2,Mail!$A77)),"",MID(Mail!$A77,FIND(AF$2,Mail!$A77)+LEN(AF$2)+1,IF(ISERROR(FIND("■",Mail!$A77,FIND(AF$2,Mail!$A77)+LEN(AF$2))-FIND(AF$2,Mail!$A77)-LEN(AF$2)),LEN(Mail!$A77)-60-FIND(AF$2,Mail!$A77)-LEN(AF$2),FIND("■",Mail!$A77,FIND(AF$2,Mail!$A77)+LEN(AF$2))-FIND(AF$2,Mail!$A77)-LEN(AF$2)-1)))))</f>
        <v/>
      </c>
      <c r="AG79" t="str">
        <f>TRIM(IF(ISERROR(FIND(AG$2,Mail!$A77)),"",MID(Mail!$A77,FIND(AG$2,Mail!$A77)+LEN(AG$2)+1,IF(ISERROR(FIND("■",Mail!$A77,FIND(AG$2,Mail!$A77)+LEN(AG$2))-FIND(AG$2,Mail!$A77)-LEN(AG$2)),LEN(Mail!$A77)-60-FIND(AG$2,Mail!$A77)-LEN(AG$2),FIND("■",Mail!$A77,FIND(AG$2,Mail!$A77)+LEN(AG$2))-FIND(AG$2,Mail!$A77)-LEN(AG$2)-1))))</f>
        <v/>
      </c>
      <c r="AH79" t="str">
        <f>TRIM(IF(ISERROR(FIND(AH$2,Mail!$A77)),"",MID(Mail!$A77,FIND(AH$2,Mail!$A77)+LEN(AH$2)+1,IF(ISERROR(FIND("■",Mail!$A77,FIND(AH$2,Mail!$A77)+LEN(AH$2))-FIND(AH$2,Mail!$A77)-LEN(AH$2)),LEN(Mail!$A77)-60-FIND(AH$2,Mail!$A77)-LEN(AH$2),FIND("■",Mail!$A77,FIND(AH$2,Mail!$A77)+LEN(AH$2))-FIND(AH$2,Mail!$A77)-LEN(AH$2)-1))))</f>
        <v/>
      </c>
      <c r="AI79" t="str">
        <f>TRIM(IF(ISERROR(FIND(AI$2,Mail!$A77)),"",MID(Mail!$A77,FIND(AI$2,Mail!$A77)+LEN(AI$2)+1,IF(ISERROR(FIND("■",Mail!$A77,FIND(AI$2,Mail!$A77)+LEN(AI$2))-FIND(AI$2,Mail!$A77)-LEN(AI$2)),LEN(Mail!$A77)-60-FIND(AI$2,Mail!$A77)-LEN(AI$2),FIND("■",Mail!$A77,FIND(AI$2,Mail!$A77)+LEN(AI$2))-FIND(AI$2,Mail!$A77)-LEN(AI$2)-1))))</f>
        <v/>
      </c>
    </row>
    <row r="80" spans="1:35" x14ac:dyDescent="0.15">
      <c r="A80" s="9" t="str">
        <f t="shared" si="6"/>
        <v/>
      </c>
      <c r="B80" s="8" t="str">
        <f>CLEAN(SUBSTITUTE(IF(ISERROR(FIND("yokohama",Mail!$A78)),"",MID(Mail!$A78,FIND("yokohama",Mail!$A78)+LEN("yokohama")+1,FIND("件目",Mail!$A78,FIND("yokohama",Mail!$A78))-(FIND("yokohama",Mail!$A78)+LEN("yokohama")+1)))," ",""))</f>
        <v/>
      </c>
      <c r="C80" s="2" t="str">
        <f t="shared" si="5"/>
        <v/>
      </c>
      <c r="D80" s="9" t="str">
        <f t="shared" si="7"/>
        <v/>
      </c>
      <c r="E80" s="8" t="str">
        <f t="shared" si="8"/>
        <v/>
      </c>
      <c r="F80" t="str">
        <f>TRIM(CLEAN(IF(ISERROR(FIND(F$2,Mail!$A78)),"",MID(Mail!$A78,FIND(F$2,Mail!$A78)+LEN(F$2)+1,IF(ISERROR(FIND("■",Mail!$A78,FIND(F$2,Mail!$A78)+LEN(F$2))-FIND(F$2,Mail!$A78)-LEN(F$2)),LEN(Mail!$A78)-60-FIND(F$2,Mail!$A78)-LEN(F$2),FIND("■",Mail!$A78,FIND(F$2,Mail!$A78)+LEN(F$2))-FIND(F$2,Mail!$A78)-LEN(F$2)-1)))))</f>
        <v/>
      </c>
      <c r="G80" t="str">
        <f>TRIM(CLEAN(IF(ISERROR(FIND(G$2,Mail!$A78)),"",MID(Mail!$A78,FIND(G$2,Mail!$A78)+LEN(G$2)+1,IF(ISERROR(FIND("■",Mail!$A78,FIND(G$2,Mail!$A78)+LEN(G$2))-FIND(G$2,Mail!$A78)-LEN(G$2)),LEN(Mail!$A78)-60-FIND(G$2,Mail!$A78)-LEN(G$2),FIND("■",Mail!$A78,FIND(G$2,Mail!$A78)+LEN(G$2))-FIND(G$2,Mail!$A78)-LEN(G$2)-1)))))</f>
        <v/>
      </c>
      <c r="H80" s="8" t="str">
        <f>TRIM(CLEAN(IF(ISERROR(FIND(H$2,Mail!$A78)),"",MID(Mail!$A78,FIND(H$2,Mail!$A78)+LEN(H$2)+1,IF(ISERROR(FIND("■",Mail!$A78,FIND(H$2,Mail!$A78)+LEN(H$2))-FIND(H$2,Mail!$A78)-LEN(H$2)),LEN(Mail!$A78)-60-FIND(H$2,Mail!$A78)-LEN(H$2),FIND("■",Mail!$A78,FIND(H$2,Mail!$A78)+LEN(H$2))-FIND(H$2,Mail!$A78)-LEN(H$2)-1)))))</f>
        <v/>
      </c>
      <c r="I80" t="str">
        <f>TRIM(CLEAN(IF(ISERROR(FIND(I$2,Mail!$A78)),"",MID(Mail!$A78,FIND(I$2,Mail!$A78)+LEN(I$2)+1,IF(ISERROR(FIND("■",Mail!$A78,FIND(I$2,Mail!$A78)+LEN(I$2))-FIND(I$2,Mail!$A78)-LEN(I$2)),LEN(Mail!$A78)-60-FIND(I$2,Mail!$A78)-LEN(I$2),FIND("■",Mail!$A78,FIND(I$2,Mail!$A78)+LEN(I$2))-FIND(I$2,Mail!$A78)-LEN(I$2)-1)))))</f>
        <v/>
      </c>
      <c r="J80" t="str">
        <f>TRIM(IF(ISERROR(FIND(J$2,Mail!$A78)),"",MID(Mail!$A78,FIND(J$2,Mail!$A78)+LEN(J$2)+1,IF(ISERROR(FIND("■",Mail!$A78,FIND(J$2,Mail!$A78)+LEN(J$2))-FIND(J$2,Mail!$A78)-LEN(J$2)),LEN(Mail!$A78)-60-FIND(J$2,Mail!$A78)-LEN(J$2),FIND("■",Mail!$A78,FIND(J$2,Mail!$A78)+LEN(J$2))-FIND(J$2,Mail!$A78)-LEN(J$2)-1))))</f>
        <v/>
      </c>
      <c r="K80" t="str">
        <f>TRIM(IF(ISERROR(FIND(K$2,Mail!$A78)),"",MID(Mail!$A78,FIND(K$2,Mail!$A78)+LEN(K$2)+1,IF(ISERROR(FIND("■",Mail!$A78,FIND(K$2,Mail!$A78)+LEN(K$2))-FIND(K$2,Mail!$A78)-LEN(K$2)),LEN(Mail!$A78)-60-FIND(K$2,Mail!$A78)-LEN(K$2),FIND("■",Mail!$A78,FIND(K$2,Mail!$A78)+LEN(K$2))-FIND(K$2,Mail!$A78)-LEN(K$2)-1))))</f>
        <v/>
      </c>
      <c r="L80" t="str">
        <f>TRIM(IF(ISERROR(FIND(L$2,Mail!$A78)),"",MID(Mail!$A78,FIND(L$2,Mail!$A78)+LEN(L$2)+1,IF(ISERROR(FIND("■",Mail!$A78,FIND(L$2,Mail!$A78)+LEN(L$2))-FIND(L$2,Mail!$A78)-LEN(L$2)),LEN(Mail!$A78)-60-FIND(L$2,Mail!$A78)-LEN(L$2),FIND("■",Mail!$A78,FIND(L$2,Mail!$A78)+LEN(L$2))-FIND(L$2,Mail!$A78)-LEN(L$2)-1))))</f>
        <v/>
      </c>
      <c r="M80" t="str">
        <f>TRIM(CLEAN(IF(ISERROR(FIND(M$2,Mail!$A78)),"",MID(Mail!$A78,FIND(M$2,Mail!$A78)+LEN(M$2)+1,IF(ISERROR(FIND("■",Mail!$A78,FIND(M$2,Mail!$A78)+LEN(M$2))-FIND(M$2,Mail!$A78)-LEN(M$2)),LEN(Mail!$A78)-60-FIND(M$2,Mail!$A78)-LEN(M$2),FIND("■",Mail!$A78,FIND(M$2,Mail!$A78)+LEN(M$2))-FIND(M$2,Mail!$A78)-LEN(M$2)-1)))))</f>
        <v/>
      </c>
      <c r="N80" t="str">
        <f>TRIM(CLEAN(IF(ISERROR(FIND(N$2,Mail!$A78)),"",MID(Mail!$A78,FIND(N$2,Mail!$A78)+LEN(N$2)+1,IF(ISERROR(FIND("■",Mail!$A78,FIND(N$2,Mail!$A78)+LEN(N$2))-FIND(N$2,Mail!$A78)-LEN(N$2)),LEN(Mail!$A78)-60-FIND(N$2,Mail!$A78)-LEN(N$2),FIND("■",Mail!$A78,FIND(N$2,Mail!$A78)+LEN(N$2))-FIND(N$2,Mail!$A78)-LEN(N$2)-1)))))</f>
        <v/>
      </c>
      <c r="O80" t="str">
        <f>TRIM(CLEAN(IF(ISERROR(FIND(O$2,Mail!$A78)),"",MID(Mail!$A78,FIND(O$2,Mail!$A78)+LEN(O$2)+1,IF(ISERROR(FIND("■",Mail!$A78,FIND(O$2,Mail!$A78)+LEN(O$2))-FIND(O$2,Mail!$A78)-LEN(O$2)),LEN(Mail!$A78)-60-FIND(O$2,Mail!$A78)-LEN(O$2),FIND("■",Mail!$A78,FIND(O$2,Mail!$A78)+LEN(O$2))-FIND(O$2,Mail!$A78)-LEN(O$2)-1)))))</f>
        <v/>
      </c>
      <c r="P80" t="str">
        <f>TRIM(CLEAN(IF(ISERROR(FIND(P$2,Mail!$A78)),"",MID(Mail!$A78,FIND(P$2,Mail!$A78)+LEN(P$2)+1,IF(ISERROR(FIND("■",Mail!$A78,FIND(P$2,Mail!$A78)+LEN(P$2))-FIND(P$2,Mail!$A78)-LEN(P$2)),LEN(Mail!$A78)-60-FIND(P$2,Mail!$A78)-LEN(P$2),FIND("■",Mail!$A78,FIND(P$2,Mail!$A78)+LEN(P$2))-FIND(P$2,Mail!$A78)-LEN(P$2)-1)))))</f>
        <v/>
      </c>
      <c r="Q80" t="str">
        <f>TRIM(CLEAN(IF(ISERROR(FIND(Q$2,Mail!$A78)),"",MID(Mail!$A78,FIND(Q$2,Mail!$A78)+LEN(Q$2)+1,IF(ISERROR(FIND("■",Mail!$A78,FIND(Q$2,Mail!$A78)+LEN(Q$2))-FIND(Q$2,Mail!$A78)-LEN(Q$2)),LEN(Mail!$A78)-60-FIND(Q$2,Mail!$A78)-LEN(Q$2),FIND("■",Mail!$A78,FIND(Q$2,Mail!$A78)+LEN(Q$2))-FIND(Q$2,Mail!$A78)-LEN(Q$2)-1)))))</f>
        <v/>
      </c>
      <c r="R80" s="8" t="str">
        <f>TRIM(CLEAN(IF(ISERROR(FIND(R$2,Mail!$A78)),"",MID(Mail!$A78,FIND(R$2,Mail!$A78)+LEN(R$2)+1,IF(ISERROR(FIND("■",Mail!$A78,FIND(R$2,Mail!$A78)+LEN(R$2))-FIND(R$2,Mail!$A78)-LEN(R$2)),LEN(Mail!$A78)-60-FIND(R$2,Mail!$A78)-LEN(R$2),FIND("■",Mail!$A78,FIND(R$2,Mail!$A78)+LEN(R$2))-FIND(R$2,Mail!$A78)-LEN(R$2)-1)))))</f>
        <v/>
      </c>
      <c r="S80" t="str">
        <f>TRIM(CLEAN(IF(ISERROR(FIND(S$2,Mail!$A78)),"",MID(Mail!$A78,FIND(S$2,Mail!$A78)+LEN(S$2)+1,IF(ISERROR(FIND("■",Mail!$A78,FIND(S$2,Mail!$A78)+LEN(S$2))-FIND(S$2,Mail!$A78)-LEN(S$2)),LEN(Mail!$A78)-60-FIND(S$2,Mail!$A78)-LEN(S$2),FIND("■",Mail!$A78,FIND(S$2,Mail!$A78)+LEN(S$2))-FIND(S$2,Mail!$A78)-LEN(S$2)-1)))))</f>
        <v/>
      </c>
      <c r="T80" t="str">
        <f>TRIM(CLEAN(IF(ISERROR(FIND(T$2,Mail!$A78)),"",MID(Mail!$A78,FIND(T$2,Mail!$A78)+LEN(T$2)+1,IF(ISERROR(FIND("■",Mail!$A78,FIND(T$2,Mail!$A78)+LEN(T$2))-FIND(T$2,Mail!$A78)-LEN(T$2)),LEN(Mail!$A78)-60-FIND(T$2,Mail!$A78)-LEN(T$2),FIND("■",Mail!$A78,FIND(T$2,Mail!$A78)+LEN(T$2))-FIND(T$2,Mail!$A78)-LEN(T$2)-1)))))</f>
        <v/>
      </c>
      <c r="U80" t="str">
        <f>TRIM(CLEAN(IF(ISERROR(FIND(U$2,Mail!$A78)),"",MID(Mail!$A78,FIND(U$2,Mail!$A78)+LEN(U$2)+1,IF(ISERROR(FIND("■",Mail!$A78,FIND(U$2,Mail!$A78)+LEN(U$2))-FIND(U$2,Mail!$A78)-LEN(U$2)),LEN(Mail!$A78)-60-FIND(U$2,Mail!$A78)-LEN(U$2),FIND("■",Mail!$A78,FIND(U$2,Mail!$A78)+LEN(U$2))-FIND(U$2,Mail!$A78)-LEN(U$2)-1)))))</f>
        <v/>
      </c>
      <c r="V80" t="str">
        <f>TRIM(CLEAN(IF(ISERROR(FIND(V$2,Mail!$A78)),"",MID(Mail!$A78,FIND(V$2,Mail!$A78)+LEN(V$2)+1,IF(ISERROR(FIND("■",Mail!$A78,FIND(V$2,Mail!$A78)+LEN(V$2))-FIND(V$2,Mail!$A78)-LEN(V$2)),LEN(Mail!$A78)-60-FIND(V$2,Mail!$A78)-LEN(V$2),FIND("■",Mail!$A78,FIND(V$2,Mail!$A78)+LEN(V$2))-FIND(V$2,Mail!$A78)-LEN(V$2)-1)))))</f>
        <v/>
      </c>
      <c r="W80" t="str">
        <f>TRIM(CLEAN(IF(ISERROR(FIND(W$2,Mail!$A78)),"",MID(Mail!$A78,FIND(W$2,Mail!$A78)+LEN(W$2)+1,IF(ISERROR(FIND("■",Mail!$A78,FIND(W$2,Mail!$A78)+LEN(W$2))-FIND(W$2,Mail!$A78)-LEN(W$2)),LEN(Mail!$A78)-60-FIND(W$2,Mail!$A78)-LEN(W$2),FIND("■",Mail!$A78,FIND(W$2,Mail!$A78)+LEN(W$2))-FIND(W$2,Mail!$A78)-LEN(W$2)-1)))))</f>
        <v/>
      </c>
      <c r="X80" t="str">
        <f>TRIM(IF(ISERROR(FIND(X$2,Mail!$A78)),"",MID(Mail!$A78,FIND(X$2,Mail!$A78)+LEN(X$2)+1,IF(ISERROR(FIND("■",Mail!$A78,FIND(X$2,Mail!$A78)+LEN(X$2))-FIND(X$2,Mail!$A78)-LEN(X$2)),LEN(Mail!$A78)-60-FIND(X$2,Mail!$A78)-LEN(X$2),FIND("■",Mail!$A78,FIND(X$2,Mail!$A78)+LEN(X$2))-FIND(X$2,Mail!$A78)-LEN(X$2)-1))))</f>
        <v/>
      </c>
      <c r="Y80" t="str">
        <f>TRIM(CLEAN(IF(ISERROR(FIND(Y$2,Mail!$A78)),"",MID(Mail!$A78,FIND(Y$2,Mail!$A78)+LEN(Y$2)+1,IF(ISERROR(FIND("■",Mail!$A78,FIND(Y$2,Mail!$A78)+LEN(Y$2))-FIND(Y$2,Mail!$A78)-LEN(Y$2)),LEN(Mail!$A78)-60-FIND(Y$2,Mail!$A78)-LEN(Y$2),FIND("■",Mail!$A78,FIND(Y$2,Mail!$A78)+LEN(Y$2))-FIND(Y$2,Mail!$A78)-LEN(Y$2)-1)))))</f>
        <v/>
      </c>
      <c r="Z80" t="str">
        <f>TRIM(CLEAN(IF(ISERROR(FIND(Z$2,Mail!$A78)),"",MID(Mail!$A78,FIND(Z$2,Mail!$A78)+LEN(Z$2)+1,IF(ISERROR(FIND("■",Mail!$A78,FIND(Z$2,Mail!$A78)+LEN(Z$2))-FIND(Z$2,Mail!$A78)-LEN(Z$2)),LEN(Mail!$A78)-60-FIND(Z$2,Mail!$A78)-LEN(Z$2),FIND("■",Mail!$A78,FIND(Z$2,Mail!$A78)+LEN(Z$2))-FIND(Z$2,Mail!$A78)-LEN(Z$2)-1)))))</f>
        <v/>
      </c>
      <c r="AA80" t="str">
        <f>TRIM(CLEAN(IF(ISERROR(FIND(AA$2,Mail!$A78)),"",MID(Mail!$A78,FIND(AA$2,Mail!$A78)+LEN(AA$2)+1,IF(ISERROR(FIND("■",Mail!$A78,FIND(AA$2,Mail!$A78)+LEN(AA$2))-FIND(AA$2,Mail!$A78)-LEN(AA$2)),LEN(Mail!$A78)-60-FIND(AA$2,Mail!$A78)-LEN(AA$2),FIND("■",Mail!$A78,FIND(AA$2,Mail!$A78)+LEN(AA$2))-FIND(AA$2,Mail!$A78)-LEN(AA$2)-1)))))</f>
        <v/>
      </c>
      <c r="AB80" t="str">
        <f>TRIM(CLEAN(IF(ISERROR(FIND(AB$2,Mail!$A78)),"",MID(Mail!$A78,FIND(AB$2,Mail!$A78)+LEN(AB$2)+1,IF(ISERROR(FIND("■",Mail!$A78,FIND(AB$2,Mail!$A78)+LEN(AB$2))-FIND(AB$2,Mail!$A78)-LEN(AB$2)),LEN(Mail!$A78)-60-FIND(AB$2,Mail!$A78)-LEN(AB$2),FIND("■",Mail!$A78,FIND(AB$2,Mail!$A78)+LEN(AB$2))-FIND(AB$2,Mail!$A78)-LEN(AB$2)-1)))))</f>
        <v/>
      </c>
      <c r="AC80" s="8" t="str">
        <f>TRIM(CLEAN(IF(ISERROR(FIND(AC$2,Mail!$A78)),"",MID(Mail!$A78,FIND(AC$2,Mail!$A78)+LEN(AC$2)+1,IF(ISERROR(FIND("■",Mail!$A78,FIND(AC$2,Mail!$A78)+LEN(AC$2))-FIND(AC$2,Mail!$A78)-LEN(AC$2)),LEN(Mail!$A78)-60-FIND(AC$2,Mail!$A78)-LEN(AC$2),FIND("■",Mail!$A78,FIND(AC$2,Mail!$A78)+LEN(AC$2))-FIND(AC$2,Mail!$A78)-LEN(AC$2)-1)))))</f>
        <v/>
      </c>
      <c r="AD80" t="str">
        <f>TRIM(CLEAN(IF(ISERROR(FIND(AD$2,Mail!$A78)),"",MID(Mail!$A78,FIND(AD$2,Mail!$A78)+LEN(AD$2)+1,IF(ISERROR(FIND("■",Mail!$A78,FIND(AD$2,Mail!$A78)+LEN(AD$2))-FIND(AD$2,Mail!$A78)-LEN(AD$2)),LEN(Mail!$A78)-60-FIND(AD$2,Mail!$A78)-LEN(AD$2),FIND("■",Mail!$A78,FIND(AD$2,Mail!$A78)+LEN(AD$2))-FIND(AD$2,Mail!$A78)-LEN(AD$2)-1)))))</f>
        <v/>
      </c>
      <c r="AE80" t="str">
        <f>TRIM(CLEAN(IF(ISERROR(FIND(AE$2,Mail!$A78)),"",MID(Mail!$A78,FIND(AE$2,Mail!$A78)+LEN(AE$2)+1,IF(ISERROR(FIND("■",Mail!$A78,FIND(AE$2,Mail!$A78)+LEN(AE$2))-FIND(AE$2,Mail!$A78)-LEN(AE$2)),LEN(Mail!$A78)-60-FIND(AE$2,Mail!$A78)-LEN(AE$2),FIND("■",Mail!$A78,FIND(AE$2,Mail!$A78)+LEN(AE$2))-FIND(AE$2,Mail!$A78)-LEN(AE$2)-1)))))</f>
        <v/>
      </c>
      <c r="AF80" t="str">
        <f>TRIM(CLEAN(IF(ISERROR(FIND(AF$2,Mail!$A78)),"",MID(Mail!$A78,FIND(AF$2,Mail!$A78)+LEN(AF$2)+1,IF(ISERROR(FIND("■",Mail!$A78,FIND(AF$2,Mail!$A78)+LEN(AF$2))-FIND(AF$2,Mail!$A78)-LEN(AF$2)),LEN(Mail!$A78)-60-FIND(AF$2,Mail!$A78)-LEN(AF$2),FIND("■",Mail!$A78,FIND(AF$2,Mail!$A78)+LEN(AF$2))-FIND(AF$2,Mail!$A78)-LEN(AF$2)-1)))))</f>
        <v/>
      </c>
      <c r="AG80" t="str">
        <f>TRIM(IF(ISERROR(FIND(AG$2,Mail!$A78)),"",MID(Mail!$A78,FIND(AG$2,Mail!$A78)+LEN(AG$2)+1,IF(ISERROR(FIND("■",Mail!$A78,FIND(AG$2,Mail!$A78)+LEN(AG$2))-FIND(AG$2,Mail!$A78)-LEN(AG$2)),LEN(Mail!$A78)-60-FIND(AG$2,Mail!$A78)-LEN(AG$2),FIND("■",Mail!$A78,FIND(AG$2,Mail!$A78)+LEN(AG$2))-FIND(AG$2,Mail!$A78)-LEN(AG$2)-1))))</f>
        <v/>
      </c>
      <c r="AH80" t="str">
        <f>TRIM(IF(ISERROR(FIND(AH$2,Mail!$A78)),"",MID(Mail!$A78,FIND(AH$2,Mail!$A78)+LEN(AH$2)+1,IF(ISERROR(FIND("■",Mail!$A78,FIND(AH$2,Mail!$A78)+LEN(AH$2))-FIND(AH$2,Mail!$A78)-LEN(AH$2)),LEN(Mail!$A78)-60-FIND(AH$2,Mail!$A78)-LEN(AH$2),FIND("■",Mail!$A78,FIND(AH$2,Mail!$A78)+LEN(AH$2))-FIND(AH$2,Mail!$A78)-LEN(AH$2)-1))))</f>
        <v/>
      </c>
      <c r="AI80" t="str">
        <f>TRIM(IF(ISERROR(FIND(AI$2,Mail!$A78)),"",MID(Mail!$A78,FIND(AI$2,Mail!$A78)+LEN(AI$2)+1,IF(ISERROR(FIND("■",Mail!$A78,FIND(AI$2,Mail!$A78)+LEN(AI$2))-FIND(AI$2,Mail!$A78)-LEN(AI$2)),LEN(Mail!$A78)-60-FIND(AI$2,Mail!$A78)-LEN(AI$2),FIND("■",Mail!$A78,FIND(AI$2,Mail!$A78)+LEN(AI$2))-FIND(AI$2,Mail!$A78)-LEN(AI$2)-1))))</f>
        <v/>
      </c>
    </row>
    <row r="81" spans="1:35" x14ac:dyDescent="0.15">
      <c r="A81" s="9" t="str">
        <f t="shared" si="6"/>
        <v/>
      </c>
      <c r="B81" s="8" t="str">
        <f>CLEAN(SUBSTITUTE(IF(ISERROR(FIND("yokohama",Mail!$A79)),"",MID(Mail!$A79,FIND("yokohama",Mail!$A79)+LEN("yokohama")+1,FIND("件目",Mail!$A79,FIND("yokohama",Mail!$A79))-(FIND("yokohama",Mail!$A79)+LEN("yokohama")+1)))," ",""))</f>
        <v/>
      </c>
      <c r="C81" s="2" t="str">
        <f t="shared" si="5"/>
        <v/>
      </c>
      <c r="D81" s="9" t="str">
        <f t="shared" si="7"/>
        <v/>
      </c>
      <c r="E81" s="8" t="str">
        <f t="shared" si="8"/>
        <v/>
      </c>
      <c r="F81" t="str">
        <f>TRIM(CLEAN(IF(ISERROR(FIND(F$2,Mail!$A79)),"",MID(Mail!$A79,FIND(F$2,Mail!$A79)+LEN(F$2)+1,IF(ISERROR(FIND("■",Mail!$A79,FIND(F$2,Mail!$A79)+LEN(F$2))-FIND(F$2,Mail!$A79)-LEN(F$2)),LEN(Mail!$A79)-60-FIND(F$2,Mail!$A79)-LEN(F$2),FIND("■",Mail!$A79,FIND(F$2,Mail!$A79)+LEN(F$2))-FIND(F$2,Mail!$A79)-LEN(F$2)-1)))))</f>
        <v/>
      </c>
      <c r="G81" t="str">
        <f>TRIM(CLEAN(IF(ISERROR(FIND(G$2,Mail!$A79)),"",MID(Mail!$A79,FIND(G$2,Mail!$A79)+LEN(G$2)+1,IF(ISERROR(FIND("■",Mail!$A79,FIND(G$2,Mail!$A79)+LEN(G$2))-FIND(G$2,Mail!$A79)-LEN(G$2)),LEN(Mail!$A79)-60-FIND(G$2,Mail!$A79)-LEN(G$2),FIND("■",Mail!$A79,FIND(G$2,Mail!$A79)+LEN(G$2))-FIND(G$2,Mail!$A79)-LEN(G$2)-1)))))</f>
        <v/>
      </c>
      <c r="H81" s="8" t="str">
        <f>TRIM(CLEAN(IF(ISERROR(FIND(H$2,Mail!$A79)),"",MID(Mail!$A79,FIND(H$2,Mail!$A79)+LEN(H$2)+1,IF(ISERROR(FIND("■",Mail!$A79,FIND(H$2,Mail!$A79)+LEN(H$2))-FIND(H$2,Mail!$A79)-LEN(H$2)),LEN(Mail!$A79)-60-FIND(H$2,Mail!$A79)-LEN(H$2),FIND("■",Mail!$A79,FIND(H$2,Mail!$A79)+LEN(H$2))-FIND(H$2,Mail!$A79)-LEN(H$2)-1)))))</f>
        <v/>
      </c>
      <c r="I81" t="str">
        <f>TRIM(CLEAN(IF(ISERROR(FIND(I$2,Mail!$A79)),"",MID(Mail!$A79,FIND(I$2,Mail!$A79)+LEN(I$2)+1,IF(ISERROR(FIND("■",Mail!$A79,FIND(I$2,Mail!$A79)+LEN(I$2))-FIND(I$2,Mail!$A79)-LEN(I$2)),LEN(Mail!$A79)-60-FIND(I$2,Mail!$A79)-LEN(I$2),FIND("■",Mail!$A79,FIND(I$2,Mail!$A79)+LEN(I$2))-FIND(I$2,Mail!$A79)-LEN(I$2)-1)))))</f>
        <v/>
      </c>
      <c r="J81" t="str">
        <f>TRIM(IF(ISERROR(FIND(J$2,Mail!$A79)),"",MID(Mail!$A79,FIND(J$2,Mail!$A79)+LEN(J$2)+1,IF(ISERROR(FIND("■",Mail!$A79,FIND(J$2,Mail!$A79)+LEN(J$2))-FIND(J$2,Mail!$A79)-LEN(J$2)),LEN(Mail!$A79)-60-FIND(J$2,Mail!$A79)-LEN(J$2),FIND("■",Mail!$A79,FIND(J$2,Mail!$A79)+LEN(J$2))-FIND(J$2,Mail!$A79)-LEN(J$2)-1))))</f>
        <v/>
      </c>
      <c r="K81" t="str">
        <f>TRIM(IF(ISERROR(FIND(K$2,Mail!$A79)),"",MID(Mail!$A79,FIND(K$2,Mail!$A79)+LEN(K$2)+1,IF(ISERROR(FIND("■",Mail!$A79,FIND(K$2,Mail!$A79)+LEN(K$2))-FIND(K$2,Mail!$A79)-LEN(K$2)),LEN(Mail!$A79)-60-FIND(K$2,Mail!$A79)-LEN(K$2),FIND("■",Mail!$A79,FIND(K$2,Mail!$A79)+LEN(K$2))-FIND(K$2,Mail!$A79)-LEN(K$2)-1))))</f>
        <v/>
      </c>
      <c r="L81" t="str">
        <f>TRIM(IF(ISERROR(FIND(L$2,Mail!$A79)),"",MID(Mail!$A79,FIND(L$2,Mail!$A79)+LEN(L$2)+1,IF(ISERROR(FIND("■",Mail!$A79,FIND(L$2,Mail!$A79)+LEN(L$2))-FIND(L$2,Mail!$A79)-LEN(L$2)),LEN(Mail!$A79)-60-FIND(L$2,Mail!$A79)-LEN(L$2),FIND("■",Mail!$A79,FIND(L$2,Mail!$A79)+LEN(L$2))-FIND(L$2,Mail!$A79)-LEN(L$2)-1))))</f>
        <v/>
      </c>
      <c r="M81" t="str">
        <f>TRIM(CLEAN(IF(ISERROR(FIND(M$2,Mail!$A79)),"",MID(Mail!$A79,FIND(M$2,Mail!$A79)+LEN(M$2)+1,IF(ISERROR(FIND("■",Mail!$A79,FIND(M$2,Mail!$A79)+LEN(M$2))-FIND(M$2,Mail!$A79)-LEN(M$2)),LEN(Mail!$A79)-60-FIND(M$2,Mail!$A79)-LEN(M$2),FIND("■",Mail!$A79,FIND(M$2,Mail!$A79)+LEN(M$2))-FIND(M$2,Mail!$A79)-LEN(M$2)-1)))))</f>
        <v/>
      </c>
      <c r="N81" t="str">
        <f>TRIM(CLEAN(IF(ISERROR(FIND(N$2,Mail!$A79)),"",MID(Mail!$A79,FIND(N$2,Mail!$A79)+LEN(N$2)+1,IF(ISERROR(FIND("■",Mail!$A79,FIND(N$2,Mail!$A79)+LEN(N$2))-FIND(N$2,Mail!$A79)-LEN(N$2)),LEN(Mail!$A79)-60-FIND(N$2,Mail!$A79)-LEN(N$2),FIND("■",Mail!$A79,FIND(N$2,Mail!$A79)+LEN(N$2))-FIND(N$2,Mail!$A79)-LEN(N$2)-1)))))</f>
        <v/>
      </c>
      <c r="O81" t="str">
        <f>TRIM(CLEAN(IF(ISERROR(FIND(O$2,Mail!$A79)),"",MID(Mail!$A79,FIND(O$2,Mail!$A79)+LEN(O$2)+1,IF(ISERROR(FIND("■",Mail!$A79,FIND(O$2,Mail!$A79)+LEN(O$2))-FIND(O$2,Mail!$A79)-LEN(O$2)),LEN(Mail!$A79)-60-FIND(O$2,Mail!$A79)-LEN(O$2),FIND("■",Mail!$A79,FIND(O$2,Mail!$A79)+LEN(O$2))-FIND(O$2,Mail!$A79)-LEN(O$2)-1)))))</f>
        <v/>
      </c>
      <c r="P81" t="str">
        <f>TRIM(CLEAN(IF(ISERROR(FIND(P$2,Mail!$A79)),"",MID(Mail!$A79,FIND(P$2,Mail!$A79)+LEN(P$2)+1,IF(ISERROR(FIND("■",Mail!$A79,FIND(P$2,Mail!$A79)+LEN(P$2))-FIND(P$2,Mail!$A79)-LEN(P$2)),LEN(Mail!$A79)-60-FIND(P$2,Mail!$A79)-LEN(P$2),FIND("■",Mail!$A79,FIND(P$2,Mail!$A79)+LEN(P$2))-FIND(P$2,Mail!$A79)-LEN(P$2)-1)))))</f>
        <v/>
      </c>
      <c r="Q81" t="str">
        <f>TRIM(CLEAN(IF(ISERROR(FIND(Q$2,Mail!$A79)),"",MID(Mail!$A79,FIND(Q$2,Mail!$A79)+LEN(Q$2)+1,IF(ISERROR(FIND("■",Mail!$A79,FIND(Q$2,Mail!$A79)+LEN(Q$2))-FIND(Q$2,Mail!$A79)-LEN(Q$2)),LEN(Mail!$A79)-60-FIND(Q$2,Mail!$A79)-LEN(Q$2),FIND("■",Mail!$A79,FIND(Q$2,Mail!$A79)+LEN(Q$2))-FIND(Q$2,Mail!$A79)-LEN(Q$2)-1)))))</f>
        <v/>
      </c>
      <c r="R81" s="8" t="str">
        <f>TRIM(CLEAN(IF(ISERROR(FIND(R$2,Mail!$A79)),"",MID(Mail!$A79,FIND(R$2,Mail!$A79)+LEN(R$2)+1,IF(ISERROR(FIND("■",Mail!$A79,FIND(R$2,Mail!$A79)+LEN(R$2))-FIND(R$2,Mail!$A79)-LEN(R$2)),LEN(Mail!$A79)-60-FIND(R$2,Mail!$A79)-LEN(R$2),FIND("■",Mail!$A79,FIND(R$2,Mail!$A79)+LEN(R$2))-FIND(R$2,Mail!$A79)-LEN(R$2)-1)))))</f>
        <v/>
      </c>
      <c r="S81" t="str">
        <f>TRIM(CLEAN(IF(ISERROR(FIND(S$2,Mail!$A79)),"",MID(Mail!$A79,FIND(S$2,Mail!$A79)+LEN(S$2)+1,IF(ISERROR(FIND("■",Mail!$A79,FIND(S$2,Mail!$A79)+LEN(S$2))-FIND(S$2,Mail!$A79)-LEN(S$2)),LEN(Mail!$A79)-60-FIND(S$2,Mail!$A79)-LEN(S$2),FIND("■",Mail!$A79,FIND(S$2,Mail!$A79)+LEN(S$2))-FIND(S$2,Mail!$A79)-LEN(S$2)-1)))))</f>
        <v/>
      </c>
      <c r="T81" t="str">
        <f>TRIM(CLEAN(IF(ISERROR(FIND(T$2,Mail!$A79)),"",MID(Mail!$A79,FIND(T$2,Mail!$A79)+LEN(T$2)+1,IF(ISERROR(FIND("■",Mail!$A79,FIND(T$2,Mail!$A79)+LEN(T$2))-FIND(T$2,Mail!$A79)-LEN(T$2)),LEN(Mail!$A79)-60-FIND(T$2,Mail!$A79)-LEN(T$2),FIND("■",Mail!$A79,FIND(T$2,Mail!$A79)+LEN(T$2))-FIND(T$2,Mail!$A79)-LEN(T$2)-1)))))</f>
        <v/>
      </c>
      <c r="U81" t="str">
        <f>TRIM(CLEAN(IF(ISERROR(FIND(U$2,Mail!$A79)),"",MID(Mail!$A79,FIND(U$2,Mail!$A79)+LEN(U$2)+1,IF(ISERROR(FIND("■",Mail!$A79,FIND(U$2,Mail!$A79)+LEN(U$2))-FIND(U$2,Mail!$A79)-LEN(U$2)),LEN(Mail!$A79)-60-FIND(U$2,Mail!$A79)-LEN(U$2),FIND("■",Mail!$A79,FIND(U$2,Mail!$A79)+LEN(U$2))-FIND(U$2,Mail!$A79)-LEN(U$2)-1)))))</f>
        <v/>
      </c>
      <c r="V81" t="str">
        <f>TRIM(CLEAN(IF(ISERROR(FIND(V$2,Mail!$A79)),"",MID(Mail!$A79,FIND(V$2,Mail!$A79)+LEN(V$2)+1,IF(ISERROR(FIND("■",Mail!$A79,FIND(V$2,Mail!$A79)+LEN(V$2))-FIND(V$2,Mail!$A79)-LEN(V$2)),LEN(Mail!$A79)-60-FIND(V$2,Mail!$A79)-LEN(V$2),FIND("■",Mail!$A79,FIND(V$2,Mail!$A79)+LEN(V$2))-FIND(V$2,Mail!$A79)-LEN(V$2)-1)))))</f>
        <v/>
      </c>
      <c r="W81" t="str">
        <f>TRIM(CLEAN(IF(ISERROR(FIND(W$2,Mail!$A79)),"",MID(Mail!$A79,FIND(W$2,Mail!$A79)+LEN(W$2)+1,IF(ISERROR(FIND("■",Mail!$A79,FIND(W$2,Mail!$A79)+LEN(W$2))-FIND(W$2,Mail!$A79)-LEN(W$2)),LEN(Mail!$A79)-60-FIND(W$2,Mail!$A79)-LEN(W$2),FIND("■",Mail!$A79,FIND(W$2,Mail!$A79)+LEN(W$2))-FIND(W$2,Mail!$A79)-LEN(W$2)-1)))))</f>
        <v/>
      </c>
      <c r="X81" t="str">
        <f>TRIM(IF(ISERROR(FIND(X$2,Mail!$A79)),"",MID(Mail!$A79,FIND(X$2,Mail!$A79)+LEN(X$2)+1,IF(ISERROR(FIND("■",Mail!$A79,FIND(X$2,Mail!$A79)+LEN(X$2))-FIND(X$2,Mail!$A79)-LEN(X$2)),LEN(Mail!$A79)-60-FIND(X$2,Mail!$A79)-LEN(X$2),FIND("■",Mail!$A79,FIND(X$2,Mail!$A79)+LEN(X$2))-FIND(X$2,Mail!$A79)-LEN(X$2)-1))))</f>
        <v/>
      </c>
      <c r="Y81" t="str">
        <f>TRIM(CLEAN(IF(ISERROR(FIND(Y$2,Mail!$A79)),"",MID(Mail!$A79,FIND(Y$2,Mail!$A79)+LEN(Y$2)+1,IF(ISERROR(FIND("■",Mail!$A79,FIND(Y$2,Mail!$A79)+LEN(Y$2))-FIND(Y$2,Mail!$A79)-LEN(Y$2)),LEN(Mail!$A79)-60-FIND(Y$2,Mail!$A79)-LEN(Y$2),FIND("■",Mail!$A79,FIND(Y$2,Mail!$A79)+LEN(Y$2))-FIND(Y$2,Mail!$A79)-LEN(Y$2)-1)))))</f>
        <v/>
      </c>
      <c r="Z81" t="str">
        <f>TRIM(CLEAN(IF(ISERROR(FIND(Z$2,Mail!$A79)),"",MID(Mail!$A79,FIND(Z$2,Mail!$A79)+LEN(Z$2)+1,IF(ISERROR(FIND("■",Mail!$A79,FIND(Z$2,Mail!$A79)+LEN(Z$2))-FIND(Z$2,Mail!$A79)-LEN(Z$2)),LEN(Mail!$A79)-60-FIND(Z$2,Mail!$A79)-LEN(Z$2),FIND("■",Mail!$A79,FIND(Z$2,Mail!$A79)+LEN(Z$2))-FIND(Z$2,Mail!$A79)-LEN(Z$2)-1)))))</f>
        <v/>
      </c>
      <c r="AA81" t="str">
        <f>TRIM(CLEAN(IF(ISERROR(FIND(AA$2,Mail!$A79)),"",MID(Mail!$A79,FIND(AA$2,Mail!$A79)+LEN(AA$2)+1,IF(ISERROR(FIND("■",Mail!$A79,FIND(AA$2,Mail!$A79)+LEN(AA$2))-FIND(AA$2,Mail!$A79)-LEN(AA$2)),LEN(Mail!$A79)-60-FIND(AA$2,Mail!$A79)-LEN(AA$2),FIND("■",Mail!$A79,FIND(AA$2,Mail!$A79)+LEN(AA$2))-FIND(AA$2,Mail!$A79)-LEN(AA$2)-1)))))</f>
        <v/>
      </c>
      <c r="AB81" t="str">
        <f>TRIM(CLEAN(IF(ISERROR(FIND(AB$2,Mail!$A79)),"",MID(Mail!$A79,FIND(AB$2,Mail!$A79)+LEN(AB$2)+1,IF(ISERROR(FIND("■",Mail!$A79,FIND(AB$2,Mail!$A79)+LEN(AB$2))-FIND(AB$2,Mail!$A79)-LEN(AB$2)),LEN(Mail!$A79)-60-FIND(AB$2,Mail!$A79)-LEN(AB$2),FIND("■",Mail!$A79,FIND(AB$2,Mail!$A79)+LEN(AB$2))-FIND(AB$2,Mail!$A79)-LEN(AB$2)-1)))))</f>
        <v/>
      </c>
      <c r="AC81" s="8" t="str">
        <f>TRIM(CLEAN(IF(ISERROR(FIND(AC$2,Mail!$A79)),"",MID(Mail!$A79,FIND(AC$2,Mail!$A79)+LEN(AC$2)+1,IF(ISERROR(FIND("■",Mail!$A79,FIND(AC$2,Mail!$A79)+LEN(AC$2))-FIND(AC$2,Mail!$A79)-LEN(AC$2)),LEN(Mail!$A79)-60-FIND(AC$2,Mail!$A79)-LEN(AC$2),FIND("■",Mail!$A79,FIND(AC$2,Mail!$A79)+LEN(AC$2))-FIND(AC$2,Mail!$A79)-LEN(AC$2)-1)))))</f>
        <v/>
      </c>
      <c r="AD81" t="str">
        <f>TRIM(CLEAN(IF(ISERROR(FIND(AD$2,Mail!$A79)),"",MID(Mail!$A79,FIND(AD$2,Mail!$A79)+LEN(AD$2)+1,IF(ISERROR(FIND("■",Mail!$A79,FIND(AD$2,Mail!$A79)+LEN(AD$2))-FIND(AD$2,Mail!$A79)-LEN(AD$2)),LEN(Mail!$A79)-60-FIND(AD$2,Mail!$A79)-LEN(AD$2),FIND("■",Mail!$A79,FIND(AD$2,Mail!$A79)+LEN(AD$2))-FIND(AD$2,Mail!$A79)-LEN(AD$2)-1)))))</f>
        <v/>
      </c>
      <c r="AE81" t="str">
        <f>TRIM(CLEAN(IF(ISERROR(FIND(AE$2,Mail!$A79)),"",MID(Mail!$A79,FIND(AE$2,Mail!$A79)+LEN(AE$2)+1,IF(ISERROR(FIND("■",Mail!$A79,FIND(AE$2,Mail!$A79)+LEN(AE$2))-FIND(AE$2,Mail!$A79)-LEN(AE$2)),LEN(Mail!$A79)-60-FIND(AE$2,Mail!$A79)-LEN(AE$2),FIND("■",Mail!$A79,FIND(AE$2,Mail!$A79)+LEN(AE$2))-FIND(AE$2,Mail!$A79)-LEN(AE$2)-1)))))</f>
        <v/>
      </c>
      <c r="AF81" t="str">
        <f>TRIM(CLEAN(IF(ISERROR(FIND(AF$2,Mail!$A79)),"",MID(Mail!$A79,FIND(AF$2,Mail!$A79)+LEN(AF$2)+1,IF(ISERROR(FIND("■",Mail!$A79,FIND(AF$2,Mail!$A79)+LEN(AF$2))-FIND(AF$2,Mail!$A79)-LEN(AF$2)),LEN(Mail!$A79)-60-FIND(AF$2,Mail!$A79)-LEN(AF$2),FIND("■",Mail!$A79,FIND(AF$2,Mail!$A79)+LEN(AF$2))-FIND(AF$2,Mail!$A79)-LEN(AF$2)-1)))))</f>
        <v/>
      </c>
      <c r="AG81" t="str">
        <f>TRIM(IF(ISERROR(FIND(AG$2,Mail!$A79)),"",MID(Mail!$A79,FIND(AG$2,Mail!$A79)+LEN(AG$2)+1,IF(ISERROR(FIND("■",Mail!$A79,FIND(AG$2,Mail!$A79)+LEN(AG$2))-FIND(AG$2,Mail!$A79)-LEN(AG$2)),LEN(Mail!$A79)-60-FIND(AG$2,Mail!$A79)-LEN(AG$2),FIND("■",Mail!$A79,FIND(AG$2,Mail!$A79)+LEN(AG$2))-FIND(AG$2,Mail!$A79)-LEN(AG$2)-1))))</f>
        <v/>
      </c>
      <c r="AH81" t="str">
        <f>TRIM(IF(ISERROR(FIND(AH$2,Mail!$A79)),"",MID(Mail!$A79,FIND(AH$2,Mail!$A79)+LEN(AH$2)+1,IF(ISERROR(FIND("■",Mail!$A79,FIND(AH$2,Mail!$A79)+LEN(AH$2))-FIND(AH$2,Mail!$A79)-LEN(AH$2)),LEN(Mail!$A79)-60-FIND(AH$2,Mail!$A79)-LEN(AH$2),FIND("■",Mail!$A79,FIND(AH$2,Mail!$A79)+LEN(AH$2))-FIND(AH$2,Mail!$A79)-LEN(AH$2)-1))))</f>
        <v/>
      </c>
      <c r="AI81" t="str">
        <f>TRIM(IF(ISERROR(FIND(AI$2,Mail!$A79)),"",MID(Mail!$A79,FIND(AI$2,Mail!$A79)+LEN(AI$2)+1,IF(ISERROR(FIND("■",Mail!$A79,FIND(AI$2,Mail!$A79)+LEN(AI$2))-FIND(AI$2,Mail!$A79)-LEN(AI$2)),LEN(Mail!$A79)-60-FIND(AI$2,Mail!$A79)-LEN(AI$2),FIND("■",Mail!$A79,FIND(AI$2,Mail!$A79)+LEN(AI$2))-FIND(AI$2,Mail!$A79)-LEN(AI$2)-1))))</f>
        <v/>
      </c>
    </row>
    <row r="82" spans="1:35" x14ac:dyDescent="0.15">
      <c r="A82" s="9" t="str">
        <f t="shared" si="6"/>
        <v/>
      </c>
      <c r="B82" s="8" t="str">
        <f>CLEAN(SUBSTITUTE(IF(ISERROR(FIND("yokohama",Mail!$A80)),"",MID(Mail!$A80,FIND("yokohama",Mail!$A80)+LEN("yokohama")+1,FIND("件目",Mail!$A80,FIND("yokohama",Mail!$A80))-(FIND("yokohama",Mail!$A80)+LEN("yokohama")+1)))," ",""))</f>
        <v/>
      </c>
      <c r="C82" s="2" t="str">
        <f t="shared" si="5"/>
        <v/>
      </c>
      <c r="D82" s="9" t="str">
        <f t="shared" si="7"/>
        <v/>
      </c>
      <c r="E82" s="8" t="str">
        <f t="shared" si="8"/>
        <v/>
      </c>
      <c r="F82" t="str">
        <f>TRIM(CLEAN(IF(ISERROR(FIND(F$2,Mail!$A80)),"",MID(Mail!$A80,FIND(F$2,Mail!$A80)+LEN(F$2)+1,IF(ISERROR(FIND("■",Mail!$A80,FIND(F$2,Mail!$A80)+LEN(F$2))-FIND(F$2,Mail!$A80)-LEN(F$2)),LEN(Mail!$A80)-60-FIND(F$2,Mail!$A80)-LEN(F$2),FIND("■",Mail!$A80,FIND(F$2,Mail!$A80)+LEN(F$2))-FIND(F$2,Mail!$A80)-LEN(F$2)-1)))))</f>
        <v/>
      </c>
      <c r="G82" t="str">
        <f>TRIM(CLEAN(IF(ISERROR(FIND(G$2,Mail!$A80)),"",MID(Mail!$A80,FIND(G$2,Mail!$A80)+LEN(G$2)+1,IF(ISERROR(FIND("■",Mail!$A80,FIND(G$2,Mail!$A80)+LEN(G$2))-FIND(G$2,Mail!$A80)-LEN(G$2)),LEN(Mail!$A80)-60-FIND(G$2,Mail!$A80)-LEN(G$2),FIND("■",Mail!$A80,FIND(G$2,Mail!$A80)+LEN(G$2))-FIND(G$2,Mail!$A80)-LEN(G$2)-1)))))</f>
        <v/>
      </c>
      <c r="H82" s="8" t="str">
        <f>TRIM(CLEAN(IF(ISERROR(FIND(H$2,Mail!$A80)),"",MID(Mail!$A80,FIND(H$2,Mail!$A80)+LEN(H$2)+1,IF(ISERROR(FIND("■",Mail!$A80,FIND(H$2,Mail!$A80)+LEN(H$2))-FIND(H$2,Mail!$A80)-LEN(H$2)),LEN(Mail!$A80)-60-FIND(H$2,Mail!$A80)-LEN(H$2),FIND("■",Mail!$A80,FIND(H$2,Mail!$A80)+LEN(H$2))-FIND(H$2,Mail!$A80)-LEN(H$2)-1)))))</f>
        <v/>
      </c>
      <c r="I82" t="str">
        <f>TRIM(CLEAN(IF(ISERROR(FIND(I$2,Mail!$A80)),"",MID(Mail!$A80,FIND(I$2,Mail!$A80)+LEN(I$2)+1,IF(ISERROR(FIND("■",Mail!$A80,FIND(I$2,Mail!$A80)+LEN(I$2))-FIND(I$2,Mail!$A80)-LEN(I$2)),LEN(Mail!$A80)-60-FIND(I$2,Mail!$A80)-LEN(I$2),FIND("■",Mail!$A80,FIND(I$2,Mail!$A80)+LEN(I$2))-FIND(I$2,Mail!$A80)-LEN(I$2)-1)))))</f>
        <v/>
      </c>
      <c r="J82" t="str">
        <f>TRIM(IF(ISERROR(FIND(J$2,Mail!$A80)),"",MID(Mail!$A80,FIND(J$2,Mail!$A80)+LEN(J$2)+1,IF(ISERROR(FIND("■",Mail!$A80,FIND(J$2,Mail!$A80)+LEN(J$2))-FIND(J$2,Mail!$A80)-LEN(J$2)),LEN(Mail!$A80)-60-FIND(J$2,Mail!$A80)-LEN(J$2),FIND("■",Mail!$A80,FIND(J$2,Mail!$A80)+LEN(J$2))-FIND(J$2,Mail!$A80)-LEN(J$2)-1))))</f>
        <v/>
      </c>
      <c r="K82" t="str">
        <f>TRIM(IF(ISERROR(FIND(K$2,Mail!$A80)),"",MID(Mail!$A80,FIND(K$2,Mail!$A80)+LEN(K$2)+1,IF(ISERROR(FIND("■",Mail!$A80,FIND(K$2,Mail!$A80)+LEN(K$2))-FIND(K$2,Mail!$A80)-LEN(K$2)),LEN(Mail!$A80)-60-FIND(K$2,Mail!$A80)-LEN(K$2),FIND("■",Mail!$A80,FIND(K$2,Mail!$A80)+LEN(K$2))-FIND(K$2,Mail!$A80)-LEN(K$2)-1))))</f>
        <v/>
      </c>
      <c r="L82" t="str">
        <f>TRIM(IF(ISERROR(FIND(L$2,Mail!$A80)),"",MID(Mail!$A80,FIND(L$2,Mail!$A80)+LEN(L$2)+1,IF(ISERROR(FIND("■",Mail!$A80,FIND(L$2,Mail!$A80)+LEN(L$2))-FIND(L$2,Mail!$A80)-LEN(L$2)),LEN(Mail!$A80)-60-FIND(L$2,Mail!$A80)-LEN(L$2),FIND("■",Mail!$A80,FIND(L$2,Mail!$A80)+LEN(L$2))-FIND(L$2,Mail!$A80)-LEN(L$2)-1))))</f>
        <v/>
      </c>
      <c r="M82" t="str">
        <f>TRIM(CLEAN(IF(ISERROR(FIND(M$2,Mail!$A80)),"",MID(Mail!$A80,FIND(M$2,Mail!$A80)+LEN(M$2)+1,IF(ISERROR(FIND("■",Mail!$A80,FIND(M$2,Mail!$A80)+LEN(M$2))-FIND(M$2,Mail!$A80)-LEN(M$2)),LEN(Mail!$A80)-60-FIND(M$2,Mail!$A80)-LEN(M$2),FIND("■",Mail!$A80,FIND(M$2,Mail!$A80)+LEN(M$2))-FIND(M$2,Mail!$A80)-LEN(M$2)-1)))))</f>
        <v/>
      </c>
      <c r="N82" t="str">
        <f>TRIM(CLEAN(IF(ISERROR(FIND(N$2,Mail!$A80)),"",MID(Mail!$A80,FIND(N$2,Mail!$A80)+LEN(N$2)+1,IF(ISERROR(FIND("■",Mail!$A80,FIND(N$2,Mail!$A80)+LEN(N$2))-FIND(N$2,Mail!$A80)-LEN(N$2)),LEN(Mail!$A80)-60-FIND(N$2,Mail!$A80)-LEN(N$2),FIND("■",Mail!$A80,FIND(N$2,Mail!$A80)+LEN(N$2))-FIND(N$2,Mail!$A80)-LEN(N$2)-1)))))</f>
        <v/>
      </c>
      <c r="O82" t="str">
        <f>TRIM(CLEAN(IF(ISERROR(FIND(O$2,Mail!$A80)),"",MID(Mail!$A80,FIND(O$2,Mail!$A80)+LEN(O$2)+1,IF(ISERROR(FIND("■",Mail!$A80,FIND(O$2,Mail!$A80)+LEN(O$2))-FIND(O$2,Mail!$A80)-LEN(O$2)),LEN(Mail!$A80)-60-FIND(O$2,Mail!$A80)-LEN(O$2),FIND("■",Mail!$A80,FIND(O$2,Mail!$A80)+LEN(O$2))-FIND(O$2,Mail!$A80)-LEN(O$2)-1)))))</f>
        <v/>
      </c>
      <c r="P82" t="str">
        <f>TRIM(CLEAN(IF(ISERROR(FIND(P$2,Mail!$A80)),"",MID(Mail!$A80,FIND(P$2,Mail!$A80)+LEN(P$2)+1,IF(ISERROR(FIND("■",Mail!$A80,FIND(P$2,Mail!$A80)+LEN(P$2))-FIND(P$2,Mail!$A80)-LEN(P$2)),LEN(Mail!$A80)-60-FIND(P$2,Mail!$A80)-LEN(P$2),FIND("■",Mail!$A80,FIND(P$2,Mail!$A80)+LEN(P$2))-FIND(P$2,Mail!$A80)-LEN(P$2)-1)))))</f>
        <v/>
      </c>
      <c r="Q82" t="str">
        <f>TRIM(CLEAN(IF(ISERROR(FIND(Q$2,Mail!$A80)),"",MID(Mail!$A80,FIND(Q$2,Mail!$A80)+LEN(Q$2)+1,IF(ISERROR(FIND("■",Mail!$A80,FIND(Q$2,Mail!$A80)+LEN(Q$2))-FIND(Q$2,Mail!$A80)-LEN(Q$2)),LEN(Mail!$A80)-60-FIND(Q$2,Mail!$A80)-LEN(Q$2),FIND("■",Mail!$A80,FIND(Q$2,Mail!$A80)+LEN(Q$2))-FIND(Q$2,Mail!$A80)-LEN(Q$2)-1)))))</f>
        <v/>
      </c>
      <c r="R82" s="8" t="str">
        <f>TRIM(CLEAN(IF(ISERROR(FIND(R$2,Mail!$A80)),"",MID(Mail!$A80,FIND(R$2,Mail!$A80)+LEN(R$2)+1,IF(ISERROR(FIND("■",Mail!$A80,FIND(R$2,Mail!$A80)+LEN(R$2))-FIND(R$2,Mail!$A80)-LEN(R$2)),LEN(Mail!$A80)-60-FIND(R$2,Mail!$A80)-LEN(R$2),FIND("■",Mail!$A80,FIND(R$2,Mail!$A80)+LEN(R$2))-FIND(R$2,Mail!$A80)-LEN(R$2)-1)))))</f>
        <v/>
      </c>
      <c r="S82" t="str">
        <f>TRIM(CLEAN(IF(ISERROR(FIND(S$2,Mail!$A80)),"",MID(Mail!$A80,FIND(S$2,Mail!$A80)+LEN(S$2)+1,IF(ISERROR(FIND("■",Mail!$A80,FIND(S$2,Mail!$A80)+LEN(S$2))-FIND(S$2,Mail!$A80)-LEN(S$2)),LEN(Mail!$A80)-60-FIND(S$2,Mail!$A80)-LEN(S$2),FIND("■",Mail!$A80,FIND(S$2,Mail!$A80)+LEN(S$2))-FIND(S$2,Mail!$A80)-LEN(S$2)-1)))))</f>
        <v/>
      </c>
      <c r="T82" t="str">
        <f>TRIM(CLEAN(IF(ISERROR(FIND(T$2,Mail!$A80)),"",MID(Mail!$A80,FIND(T$2,Mail!$A80)+LEN(T$2)+1,IF(ISERROR(FIND("■",Mail!$A80,FIND(T$2,Mail!$A80)+LEN(T$2))-FIND(T$2,Mail!$A80)-LEN(T$2)),LEN(Mail!$A80)-60-FIND(T$2,Mail!$A80)-LEN(T$2),FIND("■",Mail!$A80,FIND(T$2,Mail!$A80)+LEN(T$2))-FIND(T$2,Mail!$A80)-LEN(T$2)-1)))))</f>
        <v/>
      </c>
      <c r="U82" t="str">
        <f>TRIM(CLEAN(IF(ISERROR(FIND(U$2,Mail!$A80)),"",MID(Mail!$A80,FIND(U$2,Mail!$A80)+LEN(U$2)+1,IF(ISERROR(FIND("■",Mail!$A80,FIND(U$2,Mail!$A80)+LEN(U$2))-FIND(U$2,Mail!$A80)-LEN(U$2)),LEN(Mail!$A80)-60-FIND(U$2,Mail!$A80)-LEN(U$2),FIND("■",Mail!$A80,FIND(U$2,Mail!$A80)+LEN(U$2))-FIND(U$2,Mail!$A80)-LEN(U$2)-1)))))</f>
        <v/>
      </c>
      <c r="V82" t="str">
        <f>TRIM(CLEAN(IF(ISERROR(FIND(V$2,Mail!$A80)),"",MID(Mail!$A80,FIND(V$2,Mail!$A80)+LEN(V$2)+1,IF(ISERROR(FIND("■",Mail!$A80,FIND(V$2,Mail!$A80)+LEN(V$2))-FIND(V$2,Mail!$A80)-LEN(V$2)),LEN(Mail!$A80)-60-FIND(V$2,Mail!$A80)-LEN(V$2),FIND("■",Mail!$A80,FIND(V$2,Mail!$A80)+LEN(V$2))-FIND(V$2,Mail!$A80)-LEN(V$2)-1)))))</f>
        <v/>
      </c>
      <c r="W82" t="str">
        <f>TRIM(CLEAN(IF(ISERROR(FIND(W$2,Mail!$A80)),"",MID(Mail!$A80,FIND(W$2,Mail!$A80)+LEN(W$2)+1,IF(ISERROR(FIND("■",Mail!$A80,FIND(W$2,Mail!$A80)+LEN(W$2))-FIND(W$2,Mail!$A80)-LEN(W$2)),LEN(Mail!$A80)-60-FIND(W$2,Mail!$A80)-LEN(W$2),FIND("■",Mail!$A80,FIND(W$2,Mail!$A80)+LEN(W$2))-FIND(W$2,Mail!$A80)-LEN(W$2)-1)))))</f>
        <v/>
      </c>
      <c r="X82" t="str">
        <f>TRIM(IF(ISERROR(FIND(X$2,Mail!$A80)),"",MID(Mail!$A80,FIND(X$2,Mail!$A80)+LEN(X$2)+1,IF(ISERROR(FIND("■",Mail!$A80,FIND(X$2,Mail!$A80)+LEN(X$2))-FIND(X$2,Mail!$A80)-LEN(X$2)),LEN(Mail!$A80)-60-FIND(X$2,Mail!$A80)-LEN(X$2),FIND("■",Mail!$A80,FIND(X$2,Mail!$A80)+LEN(X$2))-FIND(X$2,Mail!$A80)-LEN(X$2)-1))))</f>
        <v/>
      </c>
      <c r="Y82" t="str">
        <f>TRIM(CLEAN(IF(ISERROR(FIND(Y$2,Mail!$A80)),"",MID(Mail!$A80,FIND(Y$2,Mail!$A80)+LEN(Y$2)+1,IF(ISERROR(FIND("■",Mail!$A80,FIND(Y$2,Mail!$A80)+LEN(Y$2))-FIND(Y$2,Mail!$A80)-LEN(Y$2)),LEN(Mail!$A80)-60-FIND(Y$2,Mail!$A80)-LEN(Y$2),FIND("■",Mail!$A80,FIND(Y$2,Mail!$A80)+LEN(Y$2))-FIND(Y$2,Mail!$A80)-LEN(Y$2)-1)))))</f>
        <v/>
      </c>
      <c r="Z82" t="str">
        <f>TRIM(CLEAN(IF(ISERROR(FIND(Z$2,Mail!$A80)),"",MID(Mail!$A80,FIND(Z$2,Mail!$A80)+LEN(Z$2)+1,IF(ISERROR(FIND("■",Mail!$A80,FIND(Z$2,Mail!$A80)+LEN(Z$2))-FIND(Z$2,Mail!$A80)-LEN(Z$2)),LEN(Mail!$A80)-60-FIND(Z$2,Mail!$A80)-LEN(Z$2),FIND("■",Mail!$A80,FIND(Z$2,Mail!$A80)+LEN(Z$2))-FIND(Z$2,Mail!$A80)-LEN(Z$2)-1)))))</f>
        <v/>
      </c>
      <c r="AA82" t="str">
        <f>TRIM(CLEAN(IF(ISERROR(FIND(AA$2,Mail!$A80)),"",MID(Mail!$A80,FIND(AA$2,Mail!$A80)+LEN(AA$2)+1,IF(ISERROR(FIND("■",Mail!$A80,FIND(AA$2,Mail!$A80)+LEN(AA$2))-FIND(AA$2,Mail!$A80)-LEN(AA$2)),LEN(Mail!$A80)-60-FIND(AA$2,Mail!$A80)-LEN(AA$2),FIND("■",Mail!$A80,FIND(AA$2,Mail!$A80)+LEN(AA$2))-FIND(AA$2,Mail!$A80)-LEN(AA$2)-1)))))</f>
        <v/>
      </c>
      <c r="AB82" t="str">
        <f>TRIM(CLEAN(IF(ISERROR(FIND(AB$2,Mail!$A80)),"",MID(Mail!$A80,FIND(AB$2,Mail!$A80)+LEN(AB$2)+1,IF(ISERROR(FIND("■",Mail!$A80,FIND(AB$2,Mail!$A80)+LEN(AB$2))-FIND(AB$2,Mail!$A80)-LEN(AB$2)),LEN(Mail!$A80)-60-FIND(AB$2,Mail!$A80)-LEN(AB$2),FIND("■",Mail!$A80,FIND(AB$2,Mail!$A80)+LEN(AB$2))-FIND(AB$2,Mail!$A80)-LEN(AB$2)-1)))))</f>
        <v/>
      </c>
      <c r="AC82" s="8" t="str">
        <f>TRIM(CLEAN(IF(ISERROR(FIND(AC$2,Mail!$A80)),"",MID(Mail!$A80,FIND(AC$2,Mail!$A80)+LEN(AC$2)+1,IF(ISERROR(FIND("■",Mail!$A80,FIND(AC$2,Mail!$A80)+LEN(AC$2))-FIND(AC$2,Mail!$A80)-LEN(AC$2)),LEN(Mail!$A80)-60-FIND(AC$2,Mail!$A80)-LEN(AC$2),FIND("■",Mail!$A80,FIND(AC$2,Mail!$A80)+LEN(AC$2))-FIND(AC$2,Mail!$A80)-LEN(AC$2)-1)))))</f>
        <v/>
      </c>
      <c r="AD82" t="str">
        <f>TRIM(CLEAN(IF(ISERROR(FIND(AD$2,Mail!$A80)),"",MID(Mail!$A80,FIND(AD$2,Mail!$A80)+LEN(AD$2)+1,IF(ISERROR(FIND("■",Mail!$A80,FIND(AD$2,Mail!$A80)+LEN(AD$2))-FIND(AD$2,Mail!$A80)-LEN(AD$2)),LEN(Mail!$A80)-60-FIND(AD$2,Mail!$A80)-LEN(AD$2),FIND("■",Mail!$A80,FIND(AD$2,Mail!$A80)+LEN(AD$2))-FIND(AD$2,Mail!$A80)-LEN(AD$2)-1)))))</f>
        <v/>
      </c>
      <c r="AE82" t="str">
        <f>TRIM(CLEAN(IF(ISERROR(FIND(AE$2,Mail!$A80)),"",MID(Mail!$A80,FIND(AE$2,Mail!$A80)+LEN(AE$2)+1,IF(ISERROR(FIND("■",Mail!$A80,FIND(AE$2,Mail!$A80)+LEN(AE$2))-FIND(AE$2,Mail!$A80)-LEN(AE$2)),LEN(Mail!$A80)-60-FIND(AE$2,Mail!$A80)-LEN(AE$2),FIND("■",Mail!$A80,FIND(AE$2,Mail!$A80)+LEN(AE$2))-FIND(AE$2,Mail!$A80)-LEN(AE$2)-1)))))</f>
        <v/>
      </c>
      <c r="AF82" t="str">
        <f>TRIM(CLEAN(IF(ISERROR(FIND(AF$2,Mail!$A80)),"",MID(Mail!$A80,FIND(AF$2,Mail!$A80)+LEN(AF$2)+1,IF(ISERROR(FIND("■",Mail!$A80,FIND(AF$2,Mail!$A80)+LEN(AF$2))-FIND(AF$2,Mail!$A80)-LEN(AF$2)),LEN(Mail!$A80)-60-FIND(AF$2,Mail!$A80)-LEN(AF$2),FIND("■",Mail!$A80,FIND(AF$2,Mail!$A80)+LEN(AF$2))-FIND(AF$2,Mail!$A80)-LEN(AF$2)-1)))))</f>
        <v/>
      </c>
      <c r="AG82" t="str">
        <f>TRIM(IF(ISERROR(FIND(AG$2,Mail!$A80)),"",MID(Mail!$A80,FIND(AG$2,Mail!$A80)+LEN(AG$2)+1,IF(ISERROR(FIND("■",Mail!$A80,FIND(AG$2,Mail!$A80)+LEN(AG$2))-FIND(AG$2,Mail!$A80)-LEN(AG$2)),LEN(Mail!$A80)-60-FIND(AG$2,Mail!$A80)-LEN(AG$2),FIND("■",Mail!$A80,FIND(AG$2,Mail!$A80)+LEN(AG$2))-FIND(AG$2,Mail!$A80)-LEN(AG$2)-1))))</f>
        <v/>
      </c>
      <c r="AH82" t="str">
        <f>TRIM(IF(ISERROR(FIND(AH$2,Mail!$A80)),"",MID(Mail!$A80,FIND(AH$2,Mail!$A80)+LEN(AH$2)+1,IF(ISERROR(FIND("■",Mail!$A80,FIND(AH$2,Mail!$A80)+LEN(AH$2))-FIND(AH$2,Mail!$A80)-LEN(AH$2)),LEN(Mail!$A80)-60-FIND(AH$2,Mail!$A80)-LEN(AH$2),FIND("■",Mail!$A80,FIND(AH$2,Mail!$A80)+LEN(AH$2))-FIND(AH$2,Mail!$A80)-LEN(AH$2)-1))))</f>
        <v/>
      </c>
      <c r="AI82" t="str">
        <f>TRIM(IF(ISERROR(FIND(AI$2,Mail!$A80)),"",MID(Mail!$A80,FIND(AI$2,Mail!$A80)+LEN(AI$2)+1,IF(ISERROR(FIND("■",Mail!$A80,FIND(AI$2,Mail!$A80)+LEN(AI$2))-FIND(AI$2,Mail!$A80)-LEN(AI$2)),LEN(Mail!$A80)-60-FIND(AI$2,Mail!$A80)-LEN(AI$2),FIND("■",Mail!$A80,FIND(AI$2,Mail!$A80)+LEN(AI$2))-FIND(AI$2,Mail!$A80)-LEN(AI$2)-1))))</f>
        <v/>
      </c>
    </row>
    <row r="83" spans="1:35" x14ac:dyDescent="0.15">
      <c r="A83" s="9" t="str">
        <f t="shared" si="6"/>
        <v/>
      </c>
      <c r="B83" s="8" t="str">
        <f>CLEAN(SUBSTITUTE(IF(ISERROR(FIND("yokohama",Mail!$A81)),"",MID(Mail!$A81,FIND("yokohama",Mail!$A81)+LEN("yokohama")+1,FIND("件目",Mail!$A81,FIND("yokohama",Mail!$A81))-(FIND("yokohama",Mail!$A81)+LEN("yokohama")+1)))," ",""))</f>
        <v/>
      </c>
      <c r="C83" s="2" t="str">
        <f t="shared" si="5"/>
        <v/>
      </c>
      <c r="D83" s="9" t="str">
        <f t="shared" si="7"/>
        <v/>
      </c>
      <c r="E83" s="8" t="str">
        <f t="shared" si="8"/>
        <v/>
      </c>
      <c r="F83" t="str">
        <f>TRIM(CLEAN(IF(ISERROR(FIND(F$2,Mail!$A81)),"",MID(Mail!$A81,FIND(F$2,Mail!$A81)+LEN(F$2)+1,IF(ISERROR(FIND("■",Mail!$A81,FIND(F$2,Mail!$A81)+LEN(F$2))-FIND(F$2,Mail!$A81)-LEN(F$2)),LEN(Mail!$A81)-60-FIND(F$2,Mail!$A81)-LEN(F$2),FIND("■",Mail!$A81,FIND(F$2,Mail!$A81)+LEN(F$2))-FIND(F$2,Mail!$A81)-LEN(F$2)-1)))))</f>
        <v/>
      </c>
      <c r="G83" t="str">
        <f>TRIM(CLEAN(IF(ISERROR(FIND(G$2,Mail!$A81)),"",MID(Mail!$A81,FIND(G$2,Mail!$A81)+LEN(G$2)+1,IF(ISERROR(FIND("■",Mail!$A81,FIND(G$2,Mail!$A81)+LEN(G$2))-FIND(G$2,Mail!$A81)-LEN(G$2)),LEN(Mail!$A81)-60-FIND(G$2,Mail!$A81)-LEN(G$2),FIND("■",Mail!$A81,FIND(G$2,Mail!$A81)+LEN(G$2))-FIND(G$2,Mail!$A81)-LEN(G$2)-1)))))</f>
        <v/>
      </c>
      <c r="H83" s="8" t="str">
        <f>TRIM(CLEAN(IF(ISERROR(FIND(H$2,Mail!$A81)),"",MID(Mail!$A81,FIND(H$2,Mail!$A81)+LEN(H$2)+1,IF(ISERROR(FIND("■",Mail!$A81,FIND(H$2,Mail!$A81)+LEN(H$2))-FIND(H$2,Mail!$A81)-LEN(H$2)),LEN(Mail!$A81)-60-FIND(H$2,Mail!$A81)-LEN(H$2),FIND("■",Mail!$A81,FIND(H$2,Mail!$A81)+LEN(H$2))-FIND(H$2,Mail!$A81)-LEN(H$2)-1)))))</f>
        <v/>
      </c>
      <c r="I83" t="str">
        <f>TRIM(CLEAN(IF(ISERROR(FIND(I$2,Mail!$A81)),"",MID(Mail!$A81,FIND(I$2,Mail!$A81)+LEN(I$2)+1,IF(ISERROR(FIND("■",Mail!$A81,FIND(I$2,Mail!$A81)+LEN(I$2))-FIND(I$2,Mail!$A81)-LEN(I$2)),LEN(Mail!$A81)-60-FIND(I$2,Mail!$A81)-LEN(I$2),FIND("■",Mail!$A81,FIND(I$2,Mail!$A81)+LEN(I$2))-FIND(I$2,Mail!$A81)-LEN(I$2)-1)))))</f>
        <v/>
      </c>
      <c r="J83" t="str">
        <f>TRIM(IF(ISERROR(FIND(J$2,Mail!$A81)),"",MID(Mail!$A81,FIND(J$2,Mail!$A81)+LEN(J$2)+1,IF(ISERROR(FIND("■",Mail!$A81,FIND(J$2,Mail!$A81)+LEN(J$2))-FIND(J$2,Mail!$A81)-LEN(J$2)),LEN(Mail!$A81)-60-FIND(J$2,Mail!$A81)-LEN(J$2),FIND("■",Mail!$A81,FIND(J$2,Mail!$A81)+LEN(J$2))-FIND(J$2,Mail!$A81)-LEN(J$2)-1))))</f>
        <v/>
      </c>
      <c r="K83" t="str">
        <f>TRIM(IF(ISERROR(FIND(K$2,Mail!$A81)),"",MID(Mail!$A81,FIND(K$2,Mail!$A81)+LEN(K$2)+1,IF(ISERROR(FIND("■",Mail!$A81,FIND(K$2,Mail!$A81)+LEN(K$2))-FIND(K$2,Mail!$A81)-LEN(K$2)),LEN(Mail!$A81)-60-FIND(K$2,Mail!$A81)-LEN(K$2),FIND("■",Mail!$A81,FIND(K$2,Mail!$A81)+LEN(K$2))-FIND(K$2,Mail!$A81)-LEN(K$2)-1))))</f>
        <v/>
      </c>
      <c r="L83" t="str">
        <f>TRIM(IF(ISERROR(FIND(L$2,Mail!$A81)),"",MID(Mail!$A81,FIND(L$2,Mail!$A81)+LEN(L$2)+1,IF(ISERROR(FIND("■",Mail!$A81,FIND(L$2,Mail!$A81)+LEN(L$2))-FIND(L$2,Mail!$A81)-LEN(L$2)),LEN(Mail!$A81)-60-FIND(L$2,Mail!$A81)-LEN(L$2),FIND("■",Mail!$A81,FIND(L$2,Mail!$A81)+LEN(L$2))-FIND(L$2,Mail!$A81)-LEN(L$2)-1))))</f>
        <v/>
      </c>
      <c r="M83" t="str">
        <f>TRIM(CLEAN(IF(ISERROR(FIND(M$2,Mail!$A81)),"",MID(Mail!$A81,FIND(M$2,Mail!$A81)+LEN(M$2)+1,IF(ISERROR(FIND("■",Mail!$A81,FIND(M$2,Mail!$A81)+LEN(M$2))-FIND(M$2,Mail!$A81)-LEN(M$2)),LEN(Mail!$A81)-60-FIND(M$2,Mail!$A81)-LEN(M$2),FIND("■",Mail!$A81,FIND(M$2,Mail!$A81)+LEN(M$2))-FIND(M$2,Mail!$A81)-LEN(M$2)-1)))))</f>
        <v/>
      </c>
      <c r="N83" t="str">
        <f>TRIM(CLEAN(IF(ISERROR(FIND(N$2,Mail!$A81)),"",MID(Mail!$A81,FIND(N$2,Mail!$A81)+LEN(N$2)+1,IF(ISERROR(FIND("■",Mail!$A81,FIND(N$2,Mail!$A81)+LEN(N$2))-FIND(N$2,Mail!$A81)-LEN(N$2)),LEN(Mail!$A81)-60-FIND(N$2,Mail!$A81)-LEN(N$2),FIND("■",Mail!$A81,FIND(N$2,Mail!$A81)+LEN(N$2))-FIND(N$2,Mail!$A81)-LEN(N$2)-1)))))</f>
        <v/>
      </c>
      <c r="O83" t="str">
        <f>TRIM(CLEAN(IF(ISERROR(FIND(O$2,Mail!$A81)),"",MID(Mail!$A81,FIND(O$2,Mail!$A81)+LEN(O$2)+1,IF(ISERROR(FIND("■",Mail!$A81,FIND(O$2,Mail!$A81)+LEN(O$2))-FIND(O$2,Mail!$A81)-LEN(O$2)),LEN(Mail!$A81)-60-FIND(O$2,Mail!$A81)-LEN(O$2),FIND("■",Mail!$A81,FIND(O$2,Mail!$A81)+LEN(O$2))-FIND(O$2,Mail!$A81)-LEN(O$2)-1)))))</f>
        <v/>
      </c>
      <c r="P83" t="str">
        <f>TRIM(CLEAN(IF(ISERROR(FIND(P$2,Mail!$A81)),"",MID(Mail!$A81,FIND(P$2,Mail!$A81)+LEN(P$2)+1,IF(ISERROR(FIND("■",Mail!$A81,FIND(P$2,Mail!$A81)+LEN(P$2))-FIND(P$2,Mail!$A81)-LEN(P$2)),LEN(Mail!$A81)-60-FIND(P$2,Mail!$A81)-LEN(P$2),FIND("■",Mail!$A81,FIND(P$2,Mail!$A81)+LEN(P$2))-FIND(P$2,Mail!$A81)-LEN(P$2)-1)))))</f>
        <v/>
      </c>
      <c r="Q83" t="str">
        <f>TRIM(CLEAN(IF(ISERROR(FIND(Q$2,Mail!$A81)),"",MID(Mail!$A81,FIND(Q$2,Mail!$A81)+LEN(Q$2)+1,IF(ISERROR(FIND("■",Mail!$A81,FIND(Q$2,Mail!$A81)+LEN(Q$2))-FIND(Q$2,Mail!$A81)-LEN(Q$2)),LEN(Mail!$A81)-60-FIND(Q$2,Mail!$A81)-LEN(Q$2),FIND("■",Mail!$A81,FIND(Q$2,Mail!$A81)+LEN(Q$2))-FIND(Q$2,Mail!$A81)-LEN(Q$2)-1)))))</f>
        <v/>
      </c>
      <c r="R83" s="8" t="str">
        <f>TRIM(CLEAN(IF(ISERROR(FIND(R$2,Mail!$A81)),"",MID(Mail!$A81,FIND(R$2,Mail!$A81)+LEN(R$2)+1,IF(ISERROR(FIND("■",Mail!$A81,FIND(R$2,Mail!$A81)+LEN(R$2))-FIND(R$2,Mail!$A81)-LEN(R$2)),LEN(Mail!$A81)-60-FIND(R$2,Mail!$A81)-LEN(R$2),FIND("■",Mail!$A81,FIND(R$2,Mail!$A81)+LEN(R$2))-FIND(R$2,Mail!$A81)-LEN(R$2)-1)))))</f>
        <v/>
      </c>
      <c r="S83" t="str">
        <f>TRIM(CLEAN(IF(ISERROR(FIND(S$2,Mail!$A81)),"",MID(Mail!$A81,FIND(S$2,Mail!$A81)+LEN(S$2)+1,IF(ISERROR(FIND("■",Mail!$A81,FIND(S$2,Mail!$A81)+LEN(S$2))-FIND(S$2,Mail!$A81)-LEN(S$2)),LEN(Mail!$A81)-60-FIND(S$2,Mail!$A81)-LEN(S$2),FIND("■",Mail!$A81,FIND(S$2,Mail!$A81)+LEN(S$2))-FIND(S$2,Mail!$A81)-LEN(S$2)-1)))))</f>
        <v/>
      </c>
      <c r="T83" t="str">
        <f>TRIM(CLEAN(IF(ISERROR(FIND(T$2,Mail!$A81)),"",MID(Mail!$A81,FIND(T$2,Mail!$A81)+LEN(T$2)+1,IF(ISERROR(FIND("■",Mail!$A81,FIND(T$2,Mail!$A81)+LEN(T$2))-FIND(T$2,Mail!$A81)-LEN(T$2)),LEN(Mail!$A81)-60-FIND(T$2,Mail!$A81)-LEN(T$2),FIND("■",Mail!$A81,FIND(T$2,Mail!$A81)+LEN(T$2))-FIND(T$2,Mail!$A81)-LEN(T$2)-1)))))</f>
        <v/>
      </c>
      <c r="U83" t="str">
        <f>TRIM(CLEAN(IF(ISERROR(FIND(U$2,Mail!$A81)),"",MID(Mail!$A81,FIND(U$2,Mail!$A81)+LEN(U$2)+1,IF(ISERROR(FIND("■",Mail!$A81,FIND(U$2,Mail!$A81)+LEN(U$2))-FIND(U$2,Mail!$A81)-LEN(U$2)),LEN(Mail!$A81)-60-FIND(U$2,Mail!$A81)-LEN(U$2),FIND("■",Mail!$A81,FIND(U$2,Mail!$A81)+LEN(U$2))-FIND(U$2,Mail!$A81)-LEN(U$2)-1)))))</f>
        <v/>
      </c>
      <c r="V83" t="str">
        <f>TRIM(CLEAN(IF(ISERROR(FIND(V$2,Mail!$A81)),"",MID(Mail!$A81,FIND(V$2,Mail!$A81)+LEN(V$2)+1,IF(ISERROR(FIND("■",Mail!$A81,FIND(V$2,Mail!$A81)+LEN(V$2))-FIND(V$2,Mail!$A81)-LEN(V$2)),LEN(Mail!$A81)-60-FIND(V$2,Mail!$A81)-LEN(V$2),FIND("■",Mail!$A81,FIND(V$2,Mail!$A81)+LEN(V$2))-FIND(V$2,Mail!$A81)-LEN(V$2)-1)))))</f>
        <v/>
      </c>
      <c r="W83" t="str">
        <f>TRIM(CLEAN(IF(ISERROR(FIND(W$2,Mail!$A81)),"",MID(Mail!$A81,FIND(W$2,Mail!$A81)+LEN(W$2)+1,IF(ISERROR(FIND("■",Mail!$A81,FIND(W$2,Mail!$A81)+LEN(W$2))-FIND(W$2,Mail!$A81)-LEN(W$2)),LEN(Mail!$A81)-60-FIND(W$2,Mail!$A81)-LEN(W$2),FIND("■",Mail!$A81,FIND(W$2,Mail!$A81)+LEN(W$2))-FIND(W$2,Mail!$A81)-LEN(W$2)-1)))))</f>
        <v/>
      </c>
      <c r="X83" t="str">
        <f>TRIM(IF(ISERROR(FIND(X$2,Mail!$A81)),"",MID(Mail!$A81,FIND(X$2,Mail!$A81)+LEN(X$2)+1,IF(ISERROR(FIND("■",Mail!$A81,FIND(X$2,Mail!$A81)+LEN(X$2))-FIND(X$2,Mail!$A81)-LEN(X$2)),LEN(Mail!$A81)-60-FIND(X$2,Mail!$A81)-LEN(X$2),FIND("■",Mail!$A81,FIND(X$2,Mail!$A81)+LEN(X$2))-FIND(X$2,Mail!$A81)-LEN(X$2)-1))))</f>
        <v/>
      </c>
      <c r="Y83" t="str">
        <f>TRIM(CLEAN(IF(ISERROR(FIND(Y$2,Mail!$A81)),"",MID(Mail!$A81,FIND(Y$2,Mail!$A81)+LEN(Y$2)+1,IF(ISERROR(FIND("■",Mail!$A81,FIND(Y$2,Mail!$A81)+LEN(Y$2))-FIND(Y$2,Mail!$A81)-LEN(Y$2)),LEN(Mail!$A81)-60-FIND(Y$2,Mail!$A81)-LEN(Y$2),FIND("■",Mail!$A81,FIND(Y$2,Mail!$A81)+LEN(Y$2))-FIND(Y$2,Mail!$A81)-LEN(Y$2)-1)))))</f>
        <v/>
      </c>
      <c r="Z83" t="str">
        <f>TRIM(CLEAN(IF(ISERROR(FIND(Z$2,Mail!$A81)),"",MID(Mail!$A81,FIND(Z$2,Mail!$A81)+LEN(Z$2)+1,IF(ISERROR(FIND("■",Mail!$A81,FIND(Z$2,Mail!$A81)+LEN(Z$2))-FIND(Z$2,Mail!$A81)-LEN(Z$2)),LEN(Mail!$A81)-60-FIND(Z$2,Mail!$A81)-LEN(Z$2),FIND("■",Mail!$A81,FIND(Z$2,Mail!$A81)+LEN(Z$2))-FIND(Z$2,Mail!$A81)-LEN(Z$2)-1)))))</f>
        <v/>
      </c>
      <c r="AA83" t="str">
        <f>TRIM(CLEAN(IF(ISERROR(FIND(AA$2,Mail!$A81)),"",MID(Mail!$A81,FIND(AA$2,Mail!$A81)+LEN(AA$2)+1,IF(ISERROR(FIND("■",Mail!$A81,FIND(AA$2,Mail!$A81)+LEN(AA$2))-FIND(AA$2,Mail!$A81)-LEN(AA$2)),LEN(Mail!$A81)-60-FIND(AA$2,Mail!$A81)-LEN(AA$2),FIND("■",Mail!$A81,FIND(AA$2,Mail!$A81)+LEN(AA$2))-FIND(AA$2,Mail!$A81)-LEN(AA$2)-1)))))</f>
        <v/>
      </c>
      <c r="AB83" t="str">
        <f>TRIM(CLEAN(IF(ISERROR(FIND(AB$2,Mail!$A81)),"",MID(Mail!$A81,FIND(AB$2,Mail!$A81)+LEN(AB$2)+1,IF(ISERROR(FIND("■",Mail!$A81,FIND(AB$2,Mail!$A81)+LEN(AB$2))-FIND(AB$2,Mail!$A81)-LEN(AB$2)),LEN(Mail!$A81)-60-FIND(AB$2,Mail!$A81)-LEN(AB$2),FIND("■",Mail!$A81,FIND(AB$2,Mail!$A81)+LEN(AB$2))-FIND(AB$2,Mail!$A81)-LEN(AB$2)-1)))))</f>
        <v/>
      </c>
      <c r="AC83" s="8" t="str">
        <f>TRIM(CLEAN(IF(ISERROR(FIND(AC$2,Mail!$A81)),"",MID(Mail!$A81,FIND(AC$2,Mail!$A81)+LEN(AC$2)+1,IF(ISERROR(FIND("■",Mail!$A81,FIND(AC$2,Mail!$A81)+LEN(AC$2))-FIND(AC$2,Mail!$A81)-LEN(AC$2)),LEN(Mail!$A81)-60-FIND(AC$2,Mail!$A81)-LEN(AC$2),FIND("■",Mail!$A81,FIND(AC$2,Mail!$A81)+LEN(AC$2))-FIND(AC$2,Mail!$A81)-LEN(AC$2)-1)))))</f>
        <v/>
      </c>
      <c r="AD83" t="str">
        <f>TRIM(CLEAN(IF(ISERROR(FIND(AD$2,Mail!$A81)),"",MID(Mail!$A81,FIND(AD$2,Mail!$A81)+LEN(AD$2)+1,IF(ISERROR(FIND("■",Mail!$A81,FIND(AD$2,Mail!$A81)+LEN(AD$2))-FIND(AD$2,Mail!$A81)-LEN(AD$2)),LEN(Mail!$A81)-60-FIND(AD$2,Mail!$A81)-LEN(AD$2),FIND("■",Mail!$A81,FIND(AD$2,Mail!$A81)+LEN(AD$2))-FIND(AD$2,Mail!$A81)-LEN(AD$2)-1)))))</f>
        <v/>
      </c>
      <c r="AE83" t="str">
        <f>TRIM(CLEAN(IF(ISERROR(FIND(AE$2,Mail!$A81)),"",MID(Mail!$A81,FIND(AE$2,Mail!$A81)+LEN(AE$2)+1,IF(ISERROR(FIND("■",Mail!$A81,FIND(AE$2,Mail!$A81)+LEN(AE$2))-FIND(AE$2,Mail!$A81)-LEN(AE$2)),LEN(Mail!$A81)-60-FIND(AE$2,Mail!$A81)-LEN(AE$2),FIND("■",Mail!$A81,FIND(AE$2,Mail!$A81)+LEN(AE$2))-FIND(AE$2,Mail!$A81)-LEN(AE$2)-1)))))</f>
        <v/>
      </c>
      <c r="AF83" t="str">
        <f>TRIM(CLEAN(IF(ISERROR(FIND(AF$2,Mail!$A81)),"",MID(Mail!$A81,FIND(AF$2,Mail!$A81)+LEN(AF$2)+1,IF(ISERROR(FIND("■",Mail!$A81,FIND(AF$2,Mail!$A81)+LEN(AF$2))-FIND(AF$2,Mail!$A81)-LEN(AF$2)),LEN(Mail!$A81)-60-FIND(AF$2,Mail!$A81)-LEN(AF$2),FIND("■",Mail!$A81,FIND(AF$2,Mail!$A81)+LEN(AF$2))-FIND(AF$2,Mail!$A81)-LEN(AF$2)-1)))))</f>
        <v/>
      </c>
      <c r="AG83" t="str">
        <f>TRIM(IF(ISERROR(FIND(AG$2,Mail!$A81)),"",MID(Mail!$A81,FIND(AG$2,Mail!$A81)+LEN(AG$2)+1,IF(ISERROR(FIND("■",Mail!$A81,FIND(AG$2,Mail!$A81)+LEN(AG$2))-FIND(AG$2,Mail!$A81)-LEN(AG$2)),LEN(Mail!$A81)-60-FIND(AG$2,Mail!$A81)-LEN(AG$2),FIND("■",Mail!$A81,FIND(AG$2,Mail!$A81)+LEN(AG$2))-FIND(AG$2,Mail!$A81)-LEN(AG$2)-1))))</f>
        <v/>
      </c>
      <c r="AH83" t="str">
        <f>TRIM(IF(ISERROR(FIND(AH$2,Mail!$A81)),"",MID(Mail!$A81,FIND(AH$2,Mail!$A81)+LEN(AH$2)+1,IF(ISERROR(FIND("■",Mail!$A81,FIND(AH$2,Mail!$A81)+LEN(AH$2))-FIND(AH$2,Mail!$A81)-LEN(AH$2)),LEN(Mail!$A81)-60-FIND(AH$2,Mail!$A81)-LEN(AH$2),FIND("■",Mail!$A81,FIND(AH$2,Mail!$A81)+LEN(AH$2))-FIND(AH$2,Mail!$A81)-LEN(AH$2)-1))))</f>
        <v/>
      </c>
      <c r="AI83" t="str">
        <f>TRIM(IF(ISERROR(FIND(AI$2,Mail!$A81)),"",MID(Mail!$A81,FIND(AI$2,Mail!$A81)+LEN(AI$2)+1,IF(ISERROR(FIND("■",Mail!$A81,FIND(AI$2,Mail!$A81)+LEN(AI$2))-FIND(AI$2,Mail!$A81)-LEN(AI$2)),LEN(Mail!$A81)-60-FIND(AI$2,Mail!$A81)-LEN(AI$2),FIND("■",Mail!$A81,FIND(AI$2,Mail!$A81)+LEN(AI$2))-FIND(AI$2,Mail!$A81)-LEN(AI$2)-1))))</f>
        <v/>
      </c>
    </row>
    <row r="84" spans="1:35" x14ac:dyDescent="0.15">
      <c r="A84" s="9" t="str">
        <f t="shared" si="6"/>
        <v/>
      </c>
      <c r="B84" s="8" t="str">
        <f>CLEAN(SUBSTITUTE(IF(ISERROR(FIND("yokohama",Mail!$A82)),"",MID(Mail!$A82,FIND("yokohama",Mail!$A82)+LEN("yokohama")+1,FIND("件目",Mail!$A82,FIND("yokohama",Mail!$A82))-(FIND("yokohama",Mail!$A82)+LEN("yokohama")+1)))," ",""))</f>
        <v/>
      </c>
      <c r="C84" s="2" t="str">
        <f t="shared" si="5"/>
        <v/>
      </c>
      <c r="D84" s="9" t="str">
        <f t="shared" si="7"/>
        <v/>
      </c>
      <c r="E84" s="8" t="str">
        <f t="shared" si="8"/>
        <v/>
      </c>
      <c r="F84" t="str">
        <f>TRIM(CLEAN(IF(ISERROR(FIND(F$2,Mail!$A82)),"",MID(Mail!$A82,FIND(F$2,Mail!$A82)+LEN(F$2)+1,IF(ISERROR(FIND("■",Mail!$A82,FIND(F$2,Mail!$A82)+LEN(F$2))-FIND(F$2,Mail!$A82)-LEN(F$2)),LEN(Mail!$A82)-60-FIND(F$2,Mail!$A82)-LEN(F$2),FIND("■",Mail!$A82,FIND(F$2,Mail!$A82)+LEN(F$2))-FIND(F$2,Mail!$A82)-LEN(F$2)-1)))))</f>
        <v/>
      </c>
      <c r="G84" t="str">
        <f>TRIM(CLEAN(IF(ISERROR(FIND(G$2,Mail!$A82)),"",MID(Mail!$A82,FIND(G$2,Mail!$A82)+LEN(G$2)+1,IF(ISERROR(FIND("■",Mail!$A82,FIND(G$2,Mail!$A82)+LEN(G$2))-FIND(G$2,Mail!$A82)-LEN(G$2)),LEN(Mail!$A82)-60-FIND(G$2,Mail!$A82)-LEN(G$2),FIND("■",Mail!$A82,FIND(G$2,Mail!$A82)+LEN(G$2))-FIND(G$2,Mail!$A82)-LEN(G$2)-1)))))</f>
        <v/>
      </c>
      <c r="H84" s="8" t="str">
        <f>TRIM(CLEAN(IF(ISERROR(FIND(H$2,Mail!$A82)),"",MID(Mail!$A82,FIND(H$2,Mail!$A82)+LEN(H$2)+1,IF(ISERROR(FIND("■",Mail!$A82,FIND(H$2,Mail!$A82)+LEN(H$2))-FIND(H$2,Mail!$A82)-LEN(H$2)),LEN(Mail!$A82)-60-FIND(H$2,Mail!$A82)-LEN(H$2),FIND("■",Mail!$A82,FIND(H$2,Mail!$A82)+LEN(H$2))-FIND(H$2,Mail!$A82)-LEN(H$2)-1)))))</f>
        <v/>
      </c>
      <c r="I84" t="str">
        <f>TRIM(CLEAN(IF(ISERROR(FIND(I$2,Mail!$A82)),"",MID(Mail!$A82,FIND(I$2,Mail!$A82)+LEN(I$2)+1,IF(ISERROR(FIND("■",Mail!$A82,FIND(I$2,Mail!$A82)+LEN(I$2))-FIND(I$2,Mail!$A82)-LEN(I$2)),LEN(Mail!$A82)-60-FIND(I$2,Mail!$A82)-LEN(I$2),FIND("■",Mail!$A82,FIND(I$2,Mail!$A82)+LEN(I$2))-FIND(I$2,Mail!$A82)-LEN(I$2)-1)))))</f>
        <v/>
      </c>
      <c r="J84" t="str">
        <f>TRIM(IF(ISERROR(FIND(J$2,Mail!$A82)),"",MID(Mail!$A82,FIND(J$2,Mail!$A82)+LEN(J$2)+1,IF(ISERROR(FIND("■",Mail!$A82,FIND(J$2,Mail!$A82)+LEN(J$2))-FIND(J$2,Mail!$A82)-LEN(J$2)),LEN(Mail!$A82)-60-FIND(J$2,Mail!$A82)-LEN(J$2),FIND("■",Mail!$A82,FIND(J$2,Mail!$A82)+LEN(J$2))-FIND(J$2,Mail!$A82)-LEN(J$2)-1))))</f>
        <v/>
      </c>
      <c r="K84" t="str">
        <f>TRIM(IF(ISERROR(FIND(K$2,Mail!$A82)),"",MID(Mail!$A82,FIND(K$2,Mail!$A82)+LEN(K$2)+1,IF(ISERROR(FIND("■",Mail!$A82,FIND(K$2,Mail!$A82)+LEN(K$2))-FIND(K$2,Mail!$A82)-LEN(K$2)),LEN(Mail!$A82)-60-FIND(K$2,Mail!$A82)-LEN(K$2),FIND("■",Mail!$A82,FIND(K$2,Mail!$A82)+LEN(K$2))-FIND(K$2,Mail!$A82)-LEN(K$2)-1))))</f>
        <v/>
      </c>
      <c r="L84" t="str">
        <f>TRIM(IF(ISERROR(FIND(L$2,Mail!$A82)),"",MID(Mail!$A82,FIND(L$2,Mail!$A82)+LEN(L$2)+1,IF(ISERROR(FIND("■",Mail!$A82,FIND(L$2,Mail!$A82)+LEN(L$2))-FIND(L$2,Mail!$A82)-LEN(L$2)),LEN(Mail!$A82)-60-FIND(L$2,Mail!$A82)-LEN(L$2),FIND("■",Mail!$A82,FIND(L$2,Mail!$A82)+LEN(L$2))-FIND(L$2,Mail!$A82)-LEN(L$2)-1))))</f>
        <v/>
      </c>
      <c r="M84" t="str">
        <f>TRIM(CLEAN(IF(ISERROR(FIND(M$2,Mail!$A82)),"",MID(Mail!$A82,FIND(M$2,Mail!$A82)+LEN(M$2)+1,IF(ISERROR(FIND("■",Mail!$A82,FIND(M$2,Mail!$A82)+LEN(M$2))-FIND(M$2,Mail!$A82)-LEN(M$2)),LEN(Mail!$A82)-60-FIND(M$2,Mail!$A82)-LEN(M$2),FIND("■",Mail!$A82,FIND(M$2,Mail!$A82)+LEN(M$2))-FIND(M$2,Mail!$A82)-LEN(M$2)-1)))))</f>
        <v/>
      </c>
      <c r="N84" t="str">
        <f>TRIM(CLEAN(IF(ISERROR(FIND(N$2,Mail!$A82)),"",MID(Mail!$A82,FIND(N$2,Mail!$A82)+LEN(N$2)+1,IF(ISERROR(FIND("■",Mail!$A82,FIND(N$2,Mail!$A82)+LEN(N$2))-FIND(N$2,Mail!$A82)-LEN(N$2)),LEN(Mail!$A82)-60-FIND(N$2,Mail!$A82)-LEN(N$2),FIND("■",Mail!$A82,FIND(N$2,Mail!$A82)+LEN(N$2))-FIND(N$2,Mail!$A82)-LEN(N$2)-1)))))</f>
        <v/>
      </c>
      <c r="O84" t="str">
        <f>TRIM(CLEAN(IF(ISERROR(FIND(O$2,Mail!$A82)),"",MID(Mail!$A82,FIND(O$2,Mail!$A82)+LEN(O$2)+1,IF(ISERROR(FIND("■",Mail!$A82,FIND(O$2,Mail!$A82)+LEN(O$2))-FIND(O$2,Mail!$A82)-LEN(O$2)),LEN(Mail!$A82)-60-FIND(O$2,Mail!$A82)-LEN(O$2),FIND("■",Mail!$A82,FIND(O$2,Mail!$A82)+LEN(O$2))-FIND(O$2,Mail!$A82)-LEN(O$2)-1)))))</f>
        <v/>
      </c>
      <c r="P84" t="str">
        <f>TRIM(CLEAN(IF(ISERROR(FIND(P$2,Mail!$A82)),"",MID(Mail!$A82,FIND(P$2,Mail!$A82)+LEN(P$2)+1,IF(ISERROR(FIND("■",Mail!$A82,FIND(P$2,Mail!$A82)+LEN(P$2))-FIND(P$2,Mail!$A82)-LEN(P$2)),LEN(Mail!$A82)-60-FIND(P$2,Mail!$A82)-LEN(P$2),FIND("■",Mail!$A82,FIND(P$2,Mail!$A82)+LEN(P$2))-FIND(P$2,Mail!$A82)-LEN(P$2)-1)))))</f>
        <v/>
      </c>
      <c r="Q84" t="str">
        <f>TRIM(CLEAN(IF(ISERROR(FIND(Q$2,Mail!$A82)),"",MID(Mail!$A82,FIND(Q$2,Mail!$A82)+LEN(Q$2)+1,IF(ISERROR(FIND("■",Mail!$A82,FIND(Q$2,Mail!$A82)+LEN(Q$2))-FIND(Q$2,Mail!$A82)-LEN(Q$2)),LEN(Mail!$A82)-60-FIND(Q$2,Mail!$A82)-LEN(Q$2),FIND("■",Mail!$A82,FIND(Q$2,Mail!$A82)+LEN(Q$2))-FIND(Q$2,Mail!$A82)-LEN(Q$2)-1)))))</f>
        <v/>
      </c>
      <c r="R84" s="8" t="str">
        <f>TRIM(CLEAN(IF(ISERROR(FIND(R$2,Mail!$A82)),"",MID(Mail!$A82,FIND(R$2,Mail!$A82)+LEN(R$2)+1,IF(ISERROR(FIND("■",Mail!$A82,FIND(R$2,Mail!$A82)+LEN(R$2))-FIND(R$2,Mail!$A82)-LEN(R$2)),LEN(Mail!$A82)-60-FIND(R$2,Mail!$A82)-LEN(R$2),FIND("■",Mail!$A82,FIND(R$2,Mail!$A82)+LEN(R$2))-FIND(R$2,Mail!$A82)-LEN(R$2)-1)))))</f>
        <v/>
      </c>
      <c r="S84" t="str">
        <f>TRIM(CLEAN(IF(ISERROR(FIND(S$2,Mail!$A82)),"",MID(Mail!$A82,FIND(S$2,Mail!$A82)+LEN(S$2)+1,IF(ISERROR(FIND("■",Mail!$A82,FIND(S$2,Mail!$A82)+LEN(S$2))-FIND(S$2,Mail!$A82)-LEN(S$2)),LEN(Mail!$A82)-60-FIND(S$2,Mail!$A82)-LEN(S$2),FIND("■",Mail!$A82,FIND(S$2,Mail!$A82)+LEN(S$2))-FIND(S$2,Mail!$A82)-LEN(S$2)-1)))))</f>
        <v/>
      </c>
      <c r="T84" t="str">
        <f>TRIM(CLEAN(IF(ISERROR(FIND(T$2,Mail!$A82)),"",MID(Mail!$A82,FIND(T$2,Mail!$A82)+LEN(T$2)+1,IF(ISERROR(FIND("■",Mail!$A82,FIND(T$2,Mail!$A82)+LEN(T$2))-FIND(T$2,Mail!$A82)-LEN(T$2)),LEN(Mail!$A82)-60-FIND(T$2,Mail!$A82)-LEN(T$2),FIND("■",Mail!$A82,FIND(T$2,Mail!$A82)+LEN(T$2))-FIND(T$2,Mail!$A82)-LEN(T$2)-1)))))</f>
        <v/>
      </c>
      <c r="U84" t="str">
        <f>TRIM(CLEAN(IF(ISERROR(FIND(U$2,Mail!$A82)),"",MID(Mail!$A82,FIND(U$2,Mail!$A82)+LEN(U$2)+1,IF(ISERROR(FIND("■",Mail!$A82,FIND(U$2,Mail!$A82)+LEN(U$2))-FIND(U$2,Mail!$A82)-LEN(U$2)),LEN(Mail!$A82)-60-FIND(U$2,Mail!$A82)-LEN(U$2),FIND("■",Mail!$A82,FIND(U$2,Mail!$A82)+LEN(U$2))-FIND(U$2,Mail!$A82)-LEN(U$2)-1)))))</f>
        <v/>
      </c>
      <c r="V84" t="str">
        <f>TRIM(CLEAN(IF(ISERROR(FIND(V$2,Mail!$A82)),"",MID(Mail!$A82,FIND(V$2,Mail!$A82)+LEN(V$2)+1,IF(ISERROR(FIND("■",Mail!$A82,FIND(V$2,Mail!$A82)+LEN(V$2))-FIND(V$2,Mail!$A82)-LEN(V$2)),LEN(Mail!$A82)-60-FIND(V$2,Mail!$A82)-LEN(V$2),FIND("■",Mail!$A82,FIND(V$2,Mail!$A82)+LEN(V$2))-FIND(V$2,Mail!$A82)-LEN(V$2)-1)))))</f>
        <v/>
      </c>
      <c r="W84" t="str">
        <f>TRIM(CLEAN(IF(ISERROR(FIND(W$2,Mail!$A82)),"",MID(Mail!$A82,FIND(W$2,Mail!$A82)+LEN(W$2)+1,IF(ISERROR(FIND("■",Mail!$A82,FIND(W$2,Mail!$A82)+LEN(W$2))-FIND(W$2,Mail!$A82)-LEN(W$2)),LEN(Mail!$A82)-60-FIND(W$2,Mail!$A82)-LEN(W$2),FIND("■",Mail!$A82,FIND(W$2,Mail!$A82)+LEN(W$2))-FIND(W$2,Mail!$A82)-LEN(W$2)-1)))))</f>
        <v/>
      </c>
      <c r="X84" t="str">
        <f>TRIM(IF(ISERROR(FIND(X$2,Mail!$A82)),"",MID(Mail!$A82,FIND(X$2,Mail!$A82)+LEN(X$2)+1,IF(ISERROR(FIND("■",Mail!$A82,FIND(X$2,Mail!$A82)+LEN(X$2))-FIND(X$2,Mail!$A82)-LEN(X$2)),LEN(Mail!$A82)-60-FIND(X$2,Mail!$A82)-LEN(X$2),FIND("■",Mail!$A82,FIND(X$2,Mail!$A82)+LEN(X$2))-FIND(X$2,Mail!$A82)-LEN(X$2)-1))))</f>
        <v/>
      </c>
      <c r="Y84" t="str">
        <f>TRIM(CLEAN(IF(ISERROR(FIND(Y$2,Mail!$A82)),"",MID(Mail!$A82,FIND(Y$2,Mail!$A82)+LEN(Y$2)+1,IF(ISERROR(FIND("■",Mail!$A82,FIND(Y$2,Mail!$A82)+LEN(Y$2))-FIND(Y$2,Mail!$A82)-LEN(Y$2)),LEN(Mail!$A82)-60-FIND(Y$2,Mail!$A82)-LEN(Y$2),FIND("■",Mail!$A82,FIND(Y$2,Mail!$A82)+LEN(Y$2))-FIND(Y$2,Mail!$A82)-LEN(Y$2)-1)))))</f>
        <v/>
      </c>
      <c r="Z84" t="str">
        <f>TRIM(CLEAN(IF(ISERROR(FIND(Z$2,Mail!$A82)),"",MID(Mail!$A82,FIND(Z$2,Mail!$A82)+LEN(Z$2)+1,IF(ISERROR(FIND("■",Mail!$A82,FIND(Z$2,Mail!$A82)+LEN(Z$2))-FIND(Z$2,Mail!$A82)-LEN(Z$2)),LEN(Mail!$A82)-60-FIND(Z$2,Mail!$A82)-LEN(Z$2),FIND("■",Mail!$A82,FIND(Z$2,Mail!$A82)+LEN(Z$2))-FIND(Z$2,Mail!$A82)-LEN(Z$2)-1)))))</f>
        <v/>
      </c>
      <c r="AA84" t="str">
        <f>TRIM(CLEAN(IF(ISERROR(FIND(AA$2,Mail!$A82)),"",MID(Mail!$A82,FIND(AA$2,Mail!$A82)+LEN(AA$2)+1,IF(ISERROR(FIND("■",Mail!$A82,FIND(AA$2,Mail!$A82)+LEN(AA$2))-FIND(AA$2,Mail!$A82)-LEN(AA$2)),LEN(Mail!$A82)-60-FIND(AA$2,Mail!$A82)-LEN(AA$2),FIND("■",Mail!$A82,FIND(AA$2,Mail!$A82)+LEN(AA$2))-FIND(AA$2,Mail!$A82)-LEN(AA$2)-1)))))</f>
        <v/>
      </c>
      <c r="AB84" t="str">
        <f>TRIM(CLEAN(IF(ISERROR(FIND(AB$2,Mail!$A82)),"",MID(Mail!$A82,FIND(AB$2,Mail!$A82)+LEN(AB$2)+1,IF(ISERROR(FIND("■",Mail!$A82,FIND(AB$2,Mail!$A82)+LEN(AB$2))-FIND(AB$2,Mail!$A82)-LEN(AB$2)),LEN(Mail!$A82)-60-FIND(AB$2,Mail!$A82)-LEN(AB$2),FIND("■",Mail!$A82,FIND(AB$2,Mail!$A82)+LEN(AB$2))-FIND(AB$2,Mail!$A82)-LEN(AB$2)-1)))))</f>
        <v/>
      </c>
      <c r="AC84" s="8" t="str">
        <f>TRIM(CLEAN(IF(ISERROR(FIND(AC$2,Mail!$A82)),"",MID(Mail!$A82,FIND(AC$2,Mail!$A82)+LEN(AC$2)+1,IF(ISERROR(FIND("■",Mail!$A82,FIND(AC$2,Mail!$A82)+LEN(AC$2))-FIND(AC$2,Mail!$A82)-LEN(AC$2)),LEN(Mail!$A82)-60-FIND(AC$2,Mail!$A82)-LEN(AC$2),FIND("■",Mail!$A82,FIND(AC$2,Mail!$A82)+LEN(AC$2))-FIND(AC$2,Mail!$A82)-LEN(AC$2)-1)))))</f>
        <v/>
      </c>
      <c r="AD84" t="str">
        <f>TRIM(CLEAN(IF(ISERROR(FIND(AD$2,Mail!$A82)),"",MID(Mail!$A82,FIND(AD$2,Mail!$A82)+LEN(AD$2)+1,IF(ISERROR(FIND("■",Mail!$A82,FIND(AD$2,Mail!$A82)+LEN(AD$2))-FIND(AD$2,Mail!$A82)-LEN(AD$2)),LEN(Mail!$A82)-60-FIND(AD$2,Mail!$A82)-LEN(AD$2),FIND("■",Mail!$A82,FIND(AD$2,Mail!$A82)+LEN(AD$2))-FIND(AD$2,Mail!$A82)-LEN(AD$2)-1)))))</f>
        <v/>
      </c>
      <c r="AE84" t="str">
        <f>TRIM(CLEAN(IF(ISERROR(FIND(AE$2,Mail!$A82)),"",MID(Mail!$A82,FIND(AE$2,Mail!$A82)+LEN(AE$2)+1,IF(ISERROR(FIND("■",Mail!$A82,FIND(AE$2,Mail!$A82)+LEN(AE$2))-FIND(AE$2,Mail!$A82)-LEN(AE$2)),LEN(Mail!$A82)-60-FIND(AE$2,Mail!$A82)-LEN(AE$2),FIND("■",Mail!$A82,FIND(AE$2,Mail!$A82)+LEN(AE$2))-FIND(AE$2,Mail!$A82)-LEN(AE$2)-1)))))</f>
        <v/>
      </c>
      <c r="AF84" t="str">
        <f>TRIM(CLEAN(IF(ISERROR(FIND(AF$2,Mail!$A82)),"",MID(Mail!$A82,FIND(AF$2,Mail!$A82)+LEN(AF$2)+1,IF(ISERROR(FIND("■",Mail!$A82,FIND(AF$2,Mail!$A82)+LEN(AF$2))-FIND(AF$2,Mail!$A82)-LEN(AF$2)),LEN(Mail!$A82)-60-FIND(AF$2,Mail!$A82)-LEN(AF$2),FIND("■",Mail!$A82,FIND(AF$2,Mail!$A82)+LEN(AF$2))-FIND(AF$2,Mail!$A82)-LEN(AF$2)-1)))))</f>
        <v/>
      </c>
      <c r="AG84" t="str">
        <f>TRIM(IF(ISERROR(FIND(AG$2,Mail!$A82)),"",MID(Mail!$A82,FIND(AG$2,Mail!$A82)+LEN(AG$2)+1,IF(ISERROR(FIND("■",Mail!$A82,FIND(AG$2,Mail!$A82)+LEN(AG$2))-FIND(AG$2,Mail!$A82)-LEN(AG$2)),LEN(Mail!$A82)-60-FIND(AG$2,Mail!$A82)-LEN(AG$2),FIND("■",Mail!$A82,FIND(AG$2,Mail!$A82)+LEN(AG$2))-FIND(AG$2,Mail!$A82)-LEN(AG$2)-1))))</f>
        <v/>
      </c>
      <c r="AH84" t="str">
        <f>TRIM(IF(ISERROR(FIND(AH$2,Mail!$A82)),"",MID(Mail!$A82,FIND(AH$2,Mail!$A82)+LEN(AH$2)+1,IF(ISERROR(FIND("■",Mail!$A82,FIND(AH$2,Mail!$A82)+LEN(AH$2))-FIND(AH$2,Mail!$A82)-LEN(AH$2)),LEN(Mail!$A82)-60-FIND(AH$2,Mail!$A82)-LEN(AH$2),FIND("■",Mail!$A82,FIND(AH$2,Mail!$A82)+LEN(AH$2))-FIND(AH$2,Mail!$A82)-LEN(AH$2)-1))))</f>
        <v/>
      </c>
      <c r="AI84" t="str">
        <f>TRIM(IF(ISERROR(FIND(AI$2,Mail!$A82)),"",MID(Mail!$A82,FIND(AI$2,Mail!$A82)+LEN(AI$2)+1,IF(ISERROR(FIND("■",Mail!$A82,FIND(AI$2,Mail!$A82)+LEN(AI$2))-FIND(AI$2,Mail!$A82)-LEN(AI$2)),LEN(Mail!$A82)-60-FIND(AI$2,Mail!$A82)-LEN(AI$2),FIND("■",Mail!$A82,FIND(AI$2,Mail!$A82)+LEN(AI$2))-FIND(AI$2,Mail!$A82)-LEN(AI$2)-1))))</f>
        <v/>
      </c>
    </row>
    <row r="85" spans="1:35" x14ac:dyDescent="0.15">
      <c r="A85" s="9" t="str">
        <f t="shared" si="6"/>
        <v/>
      </c>
      <c r="B85" s="8" t="str">
        <f>CLEAN(SUBSTITUTE(IF(ISERROR(FIND("yokohama",Mail!$A83)),"",MID(Mail!$A83,FIND("yokohama",Mail!$A83)+LEN("yokohama")+1,FIND("件目",Mail!$A83,FIND("yokohama",Mail!$A83))-(FIND("yokohama",Mail!$A83)+LEN("yokohama")+1)))," ",""))</f>
        <v/>
      </c>
      <c r="C85" s="2" t="str">
        <f t="shared" si="5"/>
        <v/>
      </c>
      <c r="D85" s="9" t="str">
        <f t="shared" si="7"/>
        <v/>
      </c>
      <c r="E85" s="8" t="str">
        <f t="shared" si="8"/>
        <v/>
      </c>
      <c r="F85" t="str">
        <f>TRIM(CLEAN(IF(ISERROR(FIND(F$2,Mail!$A83)),"",MID(Mail!$A83,FIND(F$2,Mail!$A83)+LEN(F$2)+1,IF(ISERROR(FIND("■",Mail!$A83,FIND(F$2,Mail!$A83)+LEN(F$2))-FIND(F$2,Mail!$A83)-LEN(F$2)),LEN(Mail!$A83)-60-FIND(F$2,Mail!$A83)-LEN(F$2),FIND("■",Mail!$A83,FIND(F$2,Mail!$A83)+LEN(F$2))-FIND(F$2,Mail!$A83)-LEN(F$2)-1)))))</f>
        <v/>
      </c>
      <c r="G85" t="str">
        <f>TRIM(CLEAN(IF(ISERROR(FIND(G$2,Mail!$A83)),"",MID(Mail!$A83,FIND(G$2,Mail!$A83)+LEN(G$2)+1,IF(ISERROR(FIND("■",Mail!$A83,FIND(G$2,Mail!$A83)+LEN(G$2))-FIND(G$2,Mail!$A83)-LEN(G$2)),LEN(Mail!$A83)-60-FIND(G$2,Mail!$A83)-LEN(G$2),FIND("■",Mail!$A83,FIND(G$2,Mail!$A83)+LEN(G$2))-FIND(G$2,Mail!$A83)-LEN(G$2)-1)))))</f>
        <v/>
      </c>
      <c r="H85" s="8" t="str">
        <f>TRIM(CLEAN(IF(ISERROR(FIND(H$2,Mail!$A83)),"",MID(Mail!$A83,FIND(H$2,Mail!$A83)+LEN(H$2)+1,IF(ISERROR(FIND("■",Mail!$A83,FIND(H$2,Mail!$A83)+LEN(H$2))-FIND(H$2,Mail!$A83)-LEN(H$2)),LEN(Mail!$A83)-60-FIND(H$2,Mail!$A83)-LEN(H$2),FIND("■",Mail!$A83,FIND(H$2,Mail!$A83)+LEN(H$2))-FIND(H$2,Mail!$A83)-LEN(H$2)-1)))))</f>
        <v/>
      </c>
      <c r="I85" t="str">
        <f>TRIM(CLEAN(IF(ISERROR(FIND(I$2,Mail!$A83)),"",MID(Mail!$A83,FIND(I$2,Mail!$A83)+LEN(I$2)+1,IF(ISERROR(FIND("■",Mail!$A83,FIND(I$2,Mail!$A83)+LEN(I$2))-FIND(I$2,Mail!$A83)-LEN(I$2)),LEN(Mail!$A83)-60-FIND(I$2,Mail!$A83)-LEN(I$2),FIND("■",Mail!$A83,FIND(I$2,Mail!$A83)+LEN(I$2))-FIND(I$2,Mail!$A83)-LEN(I$2)-1)))))</f>
        <v/>
      </c>
      <c r="J85" t="str">
        <f>TRIM(IF(ISERROR(FIND(J$2,Mail!$A83)),"",MID(Mail!$A83,FIND(J$2,Mail!$A83)+LEN(J$2)+1,IF(ISERROR(FIND("■",Mail!$A83,FIND(J$2,Mail!$A83)+LEN(J$2))-FIND(J$2,Mail!$A83)-LEN(J$2)),LEN(Mail!$A83)-60-FIND(J$2,Mail!$A83)-LEN(J$2),FIND("■",Mail!$A83,FIND(J$2,Mail!$A83)+LEN(J$2))-FIND(J$2,Mail!$A83)-LEN(J$2)-1))))</f>
        <v/>
      </c>
      <c r="K85" t="str">
        <f>TRIM(IF(ISERROR(FIND(K$2,Mail!$A83)),"",MID(Mail!$A83,FIND(K$2,Mail!$A83)+LEN(K$2)+1,IF(ISERROR(FIND("■",Mail!$A83,FIND(K$2,Mail!$A83)+LEN(K$2))-FIND(K$2,Mail!$A83)-LEN(K$2)),LEN(Mail!$A83)-60-FIND(K$2,Mail!$A83)-LEN(K$2),FIND("■",Mail!$A83,FIND(K$2,Mail!$A83)+LEN(K$2))-FIND(K$2,Mail!$A83)-LEN(K$2)-1))))</f>
        <v/>
      </c>
      <c r="L85" t="str">
        <f>TRIM(IF(ISERROR(FIND(L$2,Mail!$A83)),"",MID(Mail!$A83,FIND(L$2,Mail!$A83)+LEN(L$2)+1,IF(ISERROR(FIND("■",Mail!$A83,FIND(L$2,Mail!$A83)+LEN(L$2))-FIND(L$2,Mail!$A83)-LEN(L$2)),LEN(Mail!$A83)-60-FIND(L$2,Mail!$A83)-LEN(L$2),FIND("■",Mail!$A83,FIND(L$2,Mail!$A83)+LEN(L$2))-FIND(L$2,Mail!$A83)-LEN(L$2)-1))))</f>
        <v/>
      </c>
      <c r="M85" t="str">
        <f>TRIM(CLEAN(IF(ISERROR(FIND(M$2,Mail!$A83)),"",MID(Mail!$A83,FIND(M$2,Mail!$A83)+LEN(M$2)+1,IF(ISERROR(FIND("■",Mail!$A83,FIND(M$2,Mail!$A83)+LEN(M$2))-FIND(M$2,Mail!$A83)-LEN(M$2)),LEN(Mail!$A83)-60-FIND(M$2,Mail!$A83)-LEN(M$2),FIND("■",Mail!$A83,FIND(M$2,Mail!$A83)+LEN(M$2))-FIND(M$2,Mail!$A83)-LEN(M$2)-1)))))</f>
        <v/>
      </c>
      <c r="N85" t="str">
        <f>TRIM(CLEAN(IF(ISERROR(FIND(N$2,Mail!$A83)),"",MID(Mail!$A83,FIND(N$2,Mail!$A83)+LEN(N$2)+1,IF(ISERROR(FIND("■",Mail!$A83,FIND(N$2,Mail!$A83)+LEN(N$2))-FIND(N$2,Mail!$A83)-LEN(N$2)),LEN(Mail!$A83)-60-FIND(N$2,Mail!$A83)-LEN(N$2),FIND("■",Mail!$A83,FIND(N$2,Mail!$A83)+LEN(N$2))-FIND(N$2,Mail!$A83)-LEN(N$2)-1)))))</f>
        <v/>
      </c>
      <c r="O85" t="str">
        <f>TRIM(CLEAN(IF(ISERROR(FIND(O$2,Mail!$A83)),"",MID(Mail!$A83,FIND(O$2,Mail!$A83)+LEN(O$2)+1,IF(ISERROR(FIND("■",Mail!$A83,FIND(O$2,Mail!$A83)+LEN(O$2))-FIND(O$2,Mail!$A83)-LEN(O$2)),LEN(Mail!$A83)-60-FIND(O$2,Mail!$A83)-LEN(O$2),FIND("■",Mail!$A83,FIND(O$2,Mail!$A83)+LEN(O$2))-FIND(O$2,Mail!$A83)-LEN(O$2)-1)))))</f>
        <v/>
      </c>
      <c r="P85" t="str">
        <f>TRIM(CLEAN(IF(ISERROR(FIND(P$2,Mail!$A83)),"",MID(Mail!$A83,FIND(P$2,Mail!$A83)+LEN(P$2)+1,IF(ISERROR(FIND("■",Mail!$A83,FIND(P$2,Mail!$A83)+LEN(P$2))-FIND(P$2,Mail!$A83)-LEN(P$2)),LEN(Mail!$A83)-60-FIND(P$2,Mail!$A83)-LEN(P$2),FIND("■",Mail!$A83,FIND(P$2,Mail!$A83)+LEN(P$2))-FIND(P$2,Mail!$A83)-LEN(P$2)-1)))))</f>
        <v/>
      </c>
      <c r="Q85" t="str">
        <f>TRIM(CLEAN(IF(ISERROR(FIND(Q$2,Mail!$A83)),"",MID(Mail!$A83,FIND(Q$2,Mail!$A83)+LEN(Q$2)+1,IF(ISERROR(FIND("■",Mail!$A83,FIND(Q$2,Mail!$A83)+LEN(Q$2))-FIND(Q$2,Mail!$A83)-LEN(Q$2)),LEN(Mail!$A83)-60-FIND(Q$2,Mail!$A83)-LEN(Q$2),FIND("■",Mail!$A83,FIND(Q$2,Mail!$A83)+LEN(Q$2))-FIND(Q$2,Mail!$A83)-LEN(Q$2)-1)))))</f>
        <v/>
      </c>
      <c r="R85" s="8" t="str">
        <f>TRIM(CLEAN(IF(ISERROR(FIND(R$2,Mail!$A83)),"",MID(Mail!$A83,FIND(R$2,Mail!$A83)+LEN(R$2)+1,IF(ISERROR(FIND("■",Mail!$A83,FIND(R$2,Mail!$A83)+LEN(R$2))-FIND(R$2,Mail!$A83)-LEN(R$2)),LEN(Mail!$A83)-60-FIND(R$2,Mail!$A83)-LEN(R$2),FIND("■",Mail!$A83,FIND(R$2,Mail!$A83)+LEN(R$2))-FIND(R$2,Mail!$A83)-LEN(R$2)-1)))))</f>
        <v/>
      </c>
      <c r="S85" t="str">
        <f>TRIM(CLEAN(IF(ISERROR(FIND(S$2,Mail!$A83)),"",MID(Mail!$A83,FIND(S$2,Mail!$A83)+LEN(S$2)+1,IF(ISERROR(FIND("■",Mail!$A83,FIND(S$2,Mail!$A83)+LEN(S$2))-FIND(S$2,Mail!$A83)-LEN(S$2)),LEN(Mail!$A83)-60-FIND(S$2,Mail!$A83)-LEN(S$2),FIND("■",Mail!$A83,FIND(S$2,Mail!$A83)+LEN(S$2))-FIND(S$2,Mail!$A83)-LEN(S$2)-1)))))</f>
        <v/>
      </c>
      <c r="T85" t="str">
        <f>TRIM(CLEAN(IF(ISERROR(FIND(T$2,Mail!$A83)),"",MID(Mail!$A83,FIND(T$2,Mail!$A83)+LEN(T$2)+1,IF(ISERROR(FIND("■",Mail!$A83,FIND(T$2,Mail!$A83)+LEN(T$2))-FIND(T$2,Mail!$A83)-LEN(T$2)),LEN(Mail!$A83)-60-FIND(T$2,Mail!$A83)-LEN(T$2),FIND("■",Mail!$A83,FIND(T$2,Mail!$A83)+LEN(T$2))-FIND(T$2,Mail!$A83)-LEN(T$2)-1)))))</f>
        <v/>
      </c>
      <c r="U85" t="str">
        <f>TRIM(CLEAN(IF(ISERROR(FIND(U$2,Mail!$A83)),"",MID(Mail!$A83,FIND(U$2,Mail!$A83)+LEN(U$2)+1,IF(ISERROR(FIND("■",Mail!$A83,FIND(U$2,Mail!$A83)+LEN(U$2))-FIND(U$2,Mail!$A83)-LEN(U$2)),LEN(Mail!$A83)-60-FIND(U$2,Mail!$A83)-LEN(U$2),FIND("■",Mail!$A83,FIND(U$2,Mail!$A83)+LEN(U$2))-FIND(U$2,Mail!$A83)-LEN(U$2)-1)))))</f>
        <v/>
      </c>
      <c r="V85" t="str">
        <f>TRIM(CLEAN(IF(ISERROR(FIND(V$2,Mail!$A83)),"",MID(Mail!$A83,FIND(V$2,Mail!$A83)+LEN(V$2)+1,IF(ISERROR(FIND("■",Mail!$A83,FIND(V$2,Mail!$A83)+LEN(V$2))-FIND(V$2,Mail!$A83)-LEN(V$2)),LEN(Mail!$A83)-60-FIND(V$2,Mail!$A83)-LEN(V$2),FIND("■",Mail!$A83,FIND(V$2,Mail!$A83)+LEN(V$2))-FIND(V$2,Mail!$A83)-LEN(V$2)-1)))))</f>
        <v/>
      </c>
      <c r="W85" t="str">
        <f>TRIM(CLEAN(IF(ISERROR(FIND(W$2,Mail!$A83)),"",MID(Mail!$A83,FIND(W$2,Mail!$A83)+LEN(W$2)+1,IF(ISERROR(FIND("■",Mail!$A83,FIND(W$2,Mail!$A83)+LEN(W$2))-FIND(W$2,Mail!$A83)-LEN(W$2)),LEN(Mail!$A83)-60-FIND(W$2,Mail!$A83)-LEN(W$2),FIND("■",Mail!$A83,FIND(W$2,Mail!$A83)+LEN(W$2))-FIND(W$2,Mail!$A83)-LEN(W$2)-1)))))</f>
        <v/>
      </c>
      <c r="X85" t="str">
        <f>TRIM(IF(ISERROR(FIND(X$2,Mail!$A83)),"",MID(Mail!$A83,FIND(X$2,Mail!$A83)+LEN(X$2)+1,IF(ISERROR(FIND("■",Mail!$A83,FIND(X$2,Mail!$A83)+LEN(X$2))-FIND(X$2,Mail!$A83)-LEN(X$2)),LEN(Mail!$A83)-60-FIND(X$2,Mail!$A83)-LEN(X$2),FIND("■",Mail!$A83,FIND(X$2,Mail!$A83)+LEN(X$2))-FIND(X$2,Mail!$A83)-LEN(X$2)-1))))</f>
        <v/>
      </c>
      <c r="Y85" t="str">
        <f>TRIM(CLEAN(IF(ISERROR(FIND(Y$2,Mail!$A83)),"",MID(Mail!$A83,FIND(Y$2,Mail!$A83)+LEN(Y$2)+1,IF(ISERROR(FIND("■",Mail!$A83,FIND(Y$2,Mail!$A83)+LEN(Y$2))-FIND(Y$2,Mail!$A83)-LEN(Y$2)),LEN(Mail!$A83)-60-FIND(Y$2,Mail!$A83)-LEN(Y$2),FIND("■",Mail!$A83,FIND(Y$2,Mail!$A83)+LEN(Y$2))-FIND(Y$2,Mail!$A83)-LEN(Y$2)-1)))))</f>
        <v/>
      </c>
      <c r="Z85" t="str">
        <f>TRIM(CLEAN(IF(ISERROR(FIND(Z$2,Mail!$A83)),"",MID(Mail!$A83,FIND(Z$2,Mail!$A83)+LEN(Z$2)+1,IF(ISERROR(FIND("■",Mail!$A83,FIND(Z$2,Mail!$A83)+LEN(Z$2))-FIND(Z$2,Mail!$A83)-LEN(Z$2)),LEN(Mail!$A83)-60-FIND(Z$2,Mail!$A83)-LEN(Z$2),FIND("■",Mail!$A83,FIND(Z$2,Mail!$A83)+LEN(Z$2))-FIND(Z$2,Mail!$A83)-LEN(Z$2)-1)))))</f>
        <v/>
      </c>
      <c r="AA85" t="str">
        <f>TRIM(CLEAN(IF(ISERROR(FIND(AA$2,Mail!$A83)),"",MID(Mail!$A83,FIND(AA$2,Mail!$A83)+LEN(AA$2)+1,IF(ISERROR(FIND("■",Mail!$A83,FIND(AA$2,Mail!$A83)+LEN(AA$2))-FIND(AA$2,Mail!$A83)-LEN(AA$2)),LEN(Mail!$A83)-60-FIND(AA$2,Mail!$A83)-LEN(AA$2),FIND("■",Mail!$A83,FIND(AA$2,Mail!$A83)+LEN(AA$2))-FIND(AA$2,Mail!$A83)-LEN(AA$2)-1)))))</f>
        <v/>
      </c>
      <c r="AB85" t="str">
        <f>TRIM(CLEAN(IF(ISERROR(FIND(AB$2,Mail!$A83)),"",MID(Mail!$A83,FIND(AB$2,Mail!$A83)+LEN(AB$2)+1,IF(ISERROR(FIND("■",Mail!$A83,FIND(AB$2,Mail!$A83)+LEN(AB$2))-FIND(AB$2,Mail!$A83)-LEN(AB$2)),LEN(Mail!$A83)-60-FIND(AB$2,Mail!$A83)-LEN(AB$2),FIND("■",Mail!$A83,FIND(AB$2,Mail!$A83)+LEN(AB$2))-FIND(AB$2,Mail!$A83)-LEN(AB$2)-1)))))</f>
        <v/>
      </c>
      <c r="AC85" s="8" t="str">
        <f>TRIM(CLEAN(IF(ISERROR(FIND(AC$2,Mail!$A83)),"",MID(Mail!$A83,FIND(AC$2,Mail!$A83)+LEN(AC$2)+1,IF(ISERROR(FIND("■",Mail!$A83,FIND(AC$2,Mail!$A83)+LEN(AC$2))-FIND(AC$2,Mail!$A83)-LEN(AC$2)),LEN(Mail!$A83)-60-FIND(AC$2,Mail!$A83)-LEN(AC$2),FIND("■",Mail!$A83,FIND(AC$2,Mail!$A83)+LEN(AC$2))-FIND(AC$2,Mail!$A83)-LEN(AC$2)-1)))))</f>
        <v/>
      </c>
      <c r="AD85" t="str">
        <f>TRIM(CLEAN(IF(ISERROR(FIND(AD$2,Mail!$A83)),"",MID(Mail!$A83,FIND(AD$2,Mail!$A83)+LEN(AD$2)+1,IF(ISERROR(FIND("■",Mail!$A83,FIND(AD$2,Mail!$A83)+LEN(AD$2))-FIND(AD$2,Mail!$A83)-LEN(AD$2)),LEN(Mail!$A83)-60-FIND(AD$2,Mail!$A83)-LEN(AD$2),FIND("■",Mail!$A83,FIND(AD$2,Mail!$A83)+LEN(AD$2))-FIND(AD$2,Mail!$A83)-LEN(AD$2)-1)))))</f>
        <v/>
      </c>
      <c r="AE85" t="str">
        <f>TRIM(CLEAN(IF(ISERROR(FIND(AE$2,Mail!$A83)),"",MID(Mail!$A83,FIND(AE$2,Mail!$A83)+LEN(AE$2)+1,IF(ISERROR(FIND("■",Mail!$A83,FIND(AE$2,Mail!$A83)+LEN(AE$2))-FIND(AE$2,Mail!$A83)-LEN(AE$2)),LEN(Mail!$A83)-60-FIND(AE$2,Mail!$A83)-LEN(AE$2),FIND("■",Mail!$A83,FIND(AE$2,Mail!$A83)+LEN(AE$2))-FIND(AE$2,Mail!$A83)-LEN(AE$2)-1)))))</f>
        <v/>
      </c>
      <c r="AF85" t="str">
        <f>TRIM(CLEAN(IF(ISERROR(FIND(AF$2,Mail!$A83)),"",MID(Mail!$A83,FIND(AF$2,Mail!$A83)+LEN(AF$2)+1,IF(ISERROR(FIND("■",Mail!$A83,FIND(AF$2,Mail!$A83)+LEN(AF$2))-FIND(AF$2,Mail!$A83)-LEN(AF$2)),LEN(Mail!$A83)-60-FIND(AF$2,Mail!$A83)-LEN(AF$2),FIND("■",Mail!$A83,FIND(AF$2,Mail!$A83)+LEN(AF$2))-FIND(AF$2,Mail!$A83)-LEN(AF$2)-1)))))</f>
        <v/>
      </c>
      <c r="AG85" t="str">
        <f>TRIM(IF(ISERROR(FIND(AG$2,Mail!$A83)),"",MID(Mail!$A83,FIND(AG$2,Mail!$A83)+LEN(AG$2)+1,IF(ISERROR(FIND("■",Mail!$A83,FIND(AG$2,Mail!$A83)+LEN(AG$2))-FIND(AG$2,Mail!$A83)-LEN(AG$2)),LEN(Mail!$A83)-60-FIND(AG$2,Mail!$A83)-LEN(AG$2),FIND("■",Mail!$A83,FIND(AG$2,Mail!$A83)+LEN(AG$2))-FIND(AG$2,Mail!$A83)-LEN(AG$2)-1))))</f>
        <v/>
      </c>
      <c r="AH85" t="str">
        <f>TRIM(IF(ISERROR(FIND(AH$2,Mail!$A83)),"",MID(Mail!$A83,FIND(AH$2,Mail!$A83)+LEN(AH$2)+1,IF(ISERROR(FIND("■",Mail!$A83,FIND(AH$2,Mail!$A83)+LEN(AH$2))-FIND(AH$2,Mail!$A83)-LEN(AH$2)),LEN(Mail!$A83)-60-FIND(AH$2,Mail!$A83)-LEN(AH$2),FIND("■",Mail!$A83,FIND(AH$2,Mail!$A83)+LEN(AH$2))-FIND(AH$2,Mail!$A83)-LEN(AH$2)-1))))</f>
        <v/>
      </c>
      <c r="AI85" t="str">
        <f>TRIM(IF(ISERROR(FIND(AI$2,Mail!$A83)),"",MID(Mail!$A83,FIND(AI$2,Mail!$A83)+LEN(AI$2)+1,IF(ISERROR(FIND("■",Mail!$A83,FIND(AI$2,Mail!$A83)+LEN(AI$2))-FIND(AI$2,Mail!$A83)-LEN(AI$2)),LEN(Mail!$A83)-60-FIND(AI$2,Mail!$A83)-LEN(AI$2),FIND("■",Mail!$A83,FIND(AI$2,Mail!$A83)+LEN(AI$2))-FIND(AI$2,Mail!$A83)-LEN(AI$2)-1))))</f>
        <v/>
      </c>
    </row>
    <row r="86" spans="1:35" x14ac:dyDescent="0.15">
      <c r="A86" s="9" t="str">
        <f t="shared" si="6"/>
        <v/>
      </c>
      <c r="B86" s="8" t="str">
        <f>CLEAN(SUBSTITUTE(IF(ISERROR(FIND("yokohama",Mail!$A84)),"",MID(Mail!$A84,FIND("yokohama",Mail!$A84)+LEN("yokohama")+1,FIND("件目",Mail!$A84,FIND("yokohama",Mail!$A84))-(FIND("yokohama",Mail!$A84)+LEN("yokohama")+1)))," ",""))</f>
        <v/>
      </c>
      <c r="C86" s="2" t="str">
        <f t="shared" si="5"/>
        <v/>
      </c>
      <c r="D86" s="9" t="str">
        <f t="shared" si="7"/>
        <v/>
      </c>
      <c r="E86" s="8" t="str">
        <f t="shared" si="8"/>
        <v/>
      </c>
      <c r="F86" t="str">
        <f>TRIM(CLEAN(IF(ISERROR(FIND(F$2,Mail!$A84)),"",MID(Mail!$A84,FIND(F$2,Mail!$A84)+LEN(F$2)+1,IF(ISERROR(FIND("■",Mail!$A84,FIND(F$2,Mail!$A84)+LEN(F$2))-FIND(F$2,Mail!$A84)-LEN(F$2)),LEN(Mail!$A84)-60-FIND(F$2,Mail!$A84)-LEN(F$2),FIND("■",Mail!$A84,FIND(F$2,Mail!$A84)+LEN(F$2))-FIND(F$2,Mail!$A84)-LEN(F$2)-1)))))</f>
        <v/>
      </c>
      <c r="G86" t="str">
        <f>TRIM(CLEAN(IF(ISERROR(FIND(G$2,Mail!$A84)),"",MID(Mail!$A84,FIND(G$2,Mail!$A84)+LEN(G$2)+1,IF(ISERROR(FIND("■",Mail!$A84,FIND(G$2,Mail!$A84)+LEN(G$2))-FIND(G$2,Mail!$A84)-LEN(G$2)),LEN(Mail!$A84)-60-FIND(G$2,Mail!$A84)-LEN(G$2),FIND("■",Mail!$A84,FIND(G$2,Mail!$A84)+LEN(G$2))-FIND(G$2,Mail!$A84)-LEN(G$2)-1)))))</f>
        <v/>
      </c>
      <c r="H86" s="8" t="str">
        <f>TRIM(CLEAN(IF(ISERROR(FIND(H$2,Mail!$A84)),"",MID(Mail!$A84,FIND(H$2,Mail!$A84)+LEN(H$2)+1,IF(ISERROR(FIND("■",Mail!$A84,FIND(H$2,Mail!$A84)+LEN(H$2))-FIND(H$2,Mail!$A84)-LEN(H$2)),LEN(Mail!$A84)-60-FIND(H$2,Mail!$A84)-LEN(H$2),FIND("■",Mail!$A84,FIND(H$2,Mail!$A84)+LEN(H$2))-FIND(H$2,Mail!$A84)-LEN(H$2)-1)))))</f>
        <v/>
      </c>
      <c r="I86" t="str">
        <f>TRIM(CLEAN(IF(ISERROR(FIND(I$2,Mail!$A84)),"",MID(Mail!$A84,FIND(I$2,Mail!$A84)+LEN(I$2)+1,IF(ISERROR(FIND("■",Mail!$A84,FIND(I$2,Mail!$A84)+LEN(I$2))-FIND(I$2,Mail!$A84)-LEN(I$2)),LEN(Mail!$A84)-60-FIND(I$2,Mail!$A84)-LEN(I$2),FIND("■",Mail!$A84,FIND(I$2,Mail!$A84)+LEN(I$2))-FIND(I$2,Mail!$A84)-LEN(I$2)-1)))))</f>
        <v/>
      </c>
      <c r="J86" t="str">
        <f>TRIM(IF(ISERROR(FIND(J$2,Mail!$A84)),"",MID(Mail!$A84,FIND(J$2,Mail!$A84)+LEN(J$2)+1,IF(ISERROR(FIND("■",Mail!$A84,FIND(J$2,Mail!$A84)+LEN(J$2))-FIND(J$2,Mail!$A84)-LEN(J$2)),LEN(Mail!$A84)-60-FIND(J$2,Mail!$A84)-LEN(J$2),FIND("■",Mail!$A84,FIND(J$2,Mail!$A84)+LEN(J$2))-FIND(J$2,Mail!$A84)-LEN(J$2)-1))))</f>
        <v/>
      </c>
      <c r="K86" t="str">
        <f>TRIM(IF(ISERROR(FIND(K$2,Mail!$A84)),"",MID(Mail!$A84,FIND(K$2,Mail!$A84)+LEN(K$2)+1,IF(ISERROR(FIND("■",Mail!$A84,FIND(K$2,Mail!$A84)+LEN(K$2))-FIND(K$2,Mail!$A84)-LEN(K$2)),LEN(Mail!$A84)-60-FIND(K$2,Mail!$A84)-LEN(K$2),FIND("■",Mail!$A84,FIND(K$2,Mail!$A84)+LEN(K$2))-FIND(K$2,Mail!$A84)-LEN(K$2)-1))))</f>
        <v/>
      </c>
      <c r="L86" t="str">
        <f>TRIM(IF(ISERROR(FIND(L$2,Mail!$A84)),"",MID(Mail!$A84,FIND(L$2,Mail!$A84)+LEN(L$2)+1,IF(ISERROR(FIND("■",Mail!$A84,FIND(L$2,Mail!$A84)+LEN(L$2))-FIND(L$2,Mail!$A84)-LEN(L$2)),LEN(Mail!$A84)-60-FIND(L$2,Mail!$A84)-LEN(L$2),FIND("■",Mail!$A84,FIND(L$2,Mail!$A84)+LEN(L$2))-FIND(L$2,Mail!$A84)-LEN(L$2)-1))))</f>
        <v/>
      </c>
      <c r="M86" t="str">
        <f>TRIM(CLEAN(IF(ISERROR(FIND(M$2,Mail!$A84)),"",MID(Mail!$A84,FIND(M$2,Mail!$A84)+LEN(M$2)+1,IF(ISERROR(FIND("■",Mail!$A84,FIND(M$2,Mail!$A84)+LEN(M$2))-FIND(M$2,Mail!$A84)-LEN(M$2)),LEN(Mail!$A84)-60-FIND(M$2,Mail!$A84)-LEN(M$2),FIND("■",Mail!$A84,FIND(M$2,Mail!$A84)+LEN(M$2))-FIND(M$2,Mail!$A84)-LEN(M$2)-1)))))</f>
        <v/>
      </c>
      <c r="N86" t="str">
        <f>TRIM(CLEAN(IF(ISERROR(FIND(N$2,Mail!$A84)),"",MID(Mail!$A84,FIND(N$2,Mail!$A84)+LEN(N$2)+1,IF(ISERROR(FIND("■",Mail!$A84,FIND(N$2,Mail!$A84)+LEN(N$2))-FIND(N$2,Mail!$A84)-LEN(N$2)),LEN(Mail!$A84)-60-FIND(N$2,Mail!$A84)-LEN(N$2),FIND("■",Mail!$A84,FIND(N$2,Mail!$A84)+LEN(N$2))-FIND(N$2,Mail!$A84)-LEN(N$2)-1)))))</f>
        <v/>
      </c>
      <c r="O86" t="str">
        <f>TRIM(CLEAN(IF(ISERROR(FIND(O$2,Mail!$A84)),"",MID(Mail!$A84,FIND(O$2,Mail!$A84)+LEN(O$2)+1,IF(ISERROR(FIND("■",Mail!$A84,FIND(O$2,Mail!$A84)+LEN(O$2))-FIND(O$2,Mail!$A84)-LEN(O$2)),LEN(Mail!$A84)-60-FIND(O$2,Mail!$A84)-LEN(O$2),FIND("■",Mail!$A84,FIND(O$2,Mail!$A84)+LEN(O$2))-FIND(O$2,Mail!$A84)-LEN(O$2)-1)))))</f>
        <v/>
      </c>
      <c r="P86" t="str">
        <f>TRIM(CLEAN(IF(ISERROR(FIND(P$2,Mail!$A84)),"",MID(Mail!$A84,FIND(P$2,Mail!$A84)+LEN(P$2)+1,IF(ISERROR(FIND("■",Mail!$A84,FIND(P$2,Mail!$A84)+LEN(P$2))-FIND(P$2,Mail!$A84)-LEN(P$2)),LEN(Mail!$A84)-60-FIND(P$2,Mail!$A84)-LEN(P$2),FIND("■",Mail!$A84,FIND(P$2,Mail!$A84)+LEN(P$2))-FIND(P$2,Mail!$A84)-LEN(P$2)-1)))))</f>
        <v/>
      </c>
      <c r="Q86" t="str">
        <f>TRIM(CLEAN(IF(ISERROR(FIND(Q$2,Mail!$A84)),"",MID(Mail!$A84,FIND(Q$2,Mail!$A84)+LEN(Q$2)+1,IF(ISERROR(FIND("■",Mail!$A84,FIND(Q$2,Mail!$A84)+LEN(Q$2))-FIND(Q$2,Mail!$A84)-LEN(Q$2)),LEN(Mail!$A84)-60-FIND(Q$2,Mail!$A84)-LEN(Q$2),FIND("■",Mail!$A84,FIND(Q$2,Mail!$A84)+LEN(Q$2))-FIND(Q$2,Mail!$A84)-LEN(Q$2)-1)))))</f>
        <v/>
      </c>
      <c r="R86" s="8" t="str">
        <f>TRIM(CLEAN(IF(ISERROR(FIND(R$2,Mail!$A84)),"",MID(Mail!$A84,FIND(R$2,Mail!$A84)+LEN(R$2)+1,IF(ISERROR(FIND("■",Mail!$A84,FIND(R$2,Mail!$A84)+LEN(R$2))-FIND(R$2,Mail!$A84)-LEN(R$2)),LEN(Mail!$A84)-60-FIND(R$2,Mail!$A84)-LEN(R$2),FIND("■",Mail!$A84,FIND(R$2,Mail!$A84)+LEN(R$2))-FIND(R$2,Mail!$A84)-LEN(R$2)-1)))))</f>
        <v/>
      </c>
      <c r="S86" t="str">
        <f>TRIM(CLEAN(IF(ISERROR(FIND(S$2,Mail!$A84)),"",MID(Mail!$A84,FIND(S$2,Mail!$A84)+LEN(S$2)+1,IF(ISERROR(FIND("■",Mail!$A84,FIND(S$2,Mail!$A84)+LEN(S$2))-FIND(S$2,Mail!$A84)-LEN(S$2)),LEN(Mail!$A84)-60-FIND(S$2,Mail!$A84)-LEN(S$2),FIND("■",Mail!$A84,FIND(S$2,Mail!$A84)+LEN(S$2))-FIND(S$2,Mail!$A84)-LEN(S$2)-1)))))</f>
        <v/>
      </c>
      <c r="T86" t="str">
        <f>TRIM(CLEAN(IF(ISERROR(FIND(T$2,Mail!$A84)),"",MID(Mail!$A84,FIND(T$2,Mail!$A84)+LEN(T$2)+1,IF(ISERROR(FIND("■",Mail!$A84,FIND(T$2,Mail!$A84)+LEN(T$2))-FIND(T$2,Mail!$A84)-LEN(T$2)),LEN(Mail!$A84)-60-FIND(T$2,Mail!$A84)-LEN(T$2),FIND("■",Mail!$A84,FIND(T$2,Mail!$A84)+LEN(T$2))-FIND(T$2,Mail!$A84)-LEN(T$2)-1)))))</f>
        <v/>
      </c>
      <c r="U86" t="str">
        <f>TRIM(CLEAN(IF(ISERROR(FIND(U$2,Mail!$A84)),"",MID(Mail!$A84,FIND(U$2,Mail!$A84)+LEN(U$2)+1,IF(ISERROR(FIND("■",Mail!$A84,FIND(U$2,Mail!$A84)+LEN(U$2))-FIND(U$2,Mail!$A84)-LEN(U$2)),LEN(Mail!$A84)-60-FIND(U$2,Mail!$A84)-LEN(U$2),FIND("■",Mail!$A84,FIND(U$2,Mail!$A84)+LEN(U$2))-FIND(U$2,Mail!$A84)-LEN(U$2)-1)))))</f>
        <v/>
      </c>
      <c r="V86" t="str">
        <f>TRIM(CLEAN(IF(ISERROR(FIND(V$2,Mail!$A84)),"",MID(Mail!$A84,FIND(V$2,Mail!$A84)+LEN(V$2)+1,IF(ISERROR(FIND("■",Mail!$A84,FIND(V$2,Mail!$A84)+LEN(V$2))-FIND(V$2,Mail!$A84)-LEN(V$2)),LEN(Mail!$A84)-60-FIND(V$2,Mail!$A84)-LEN(V$2),FIND("■",Mail!$A84,FIND(V$2,Mail!$A84)+LEN(V$2))-FIND(V$2,Mail!$A84)-LEN(V$2)-1)))))</f>
        <v/>
      </c>
      <c r="W86" t="str">
        <f>TRIM(CLEAN(IF(ISERROR(FIND(W$2,Mail!$A84)),"",MID(Mail!$A84,FIND(W$2,Mail!$A84)+LEN(W$2)+1,IF(ISERROR(FIND("■",Mail!$A84,FIND(W$2,Mail!$A84)+LEN(W$2))-FIND(W$2,Mail!$A84)-LEN(W$2)),LEN(Mail!$A84)-60-FIND(W$2,Mail!$A84)-LEN(W$2),FIND("■",Mail!$A84,FIND(W$2,Mail!$A84)+LEN(W$2))-FIND(W$2,Mail!$A84)-LEN(W$2)-1)))))</f>
        <v/>
      </c>
      <c r="X86" t="str">
        <f>TRIM(IF(ISERROR(FIND(X$2,Mail!$A84)),"",MID(Mail!$A84,FIND(X$2,Mail!$A84)+LEN(X$2)+1,IF(ISERROR(FIND("■",Mail!$A84,FIND(X$2,Mail!$A84)+LEN(X$2))-FIND(X$2,Mail!$A84)-LEN(X$2)),LEN(Mail!$A84)-60-FIND(X$2,Mail!$A84)-LEN(X$2),FIND("■",Mail!$A84,FIND(X$2,Mail!$A84)+LEN(X$2))-FIND(X$2,Mail!$A84)-LEN(X$2)-1))))</f>
        <v/>
      </c>
      <c r="Y86" t="str">
        <f>TRIM(CLEAN(IF(ISERROR(FIND(Y$2,Mail!$A84)),"",MID(Mail!$A84,FIND(Y$2,Mail!$A84)+LEN(Y$2)+1,IF(ISERROR(FIND("■",Mail!$A84,FIND(Y$2,Mail!$A84)+LEN(Y$2))-FIND(Y$2,Mail!$A84)-LEN(Y$2)),LEN(Mail!$A84)-60-FIND(Y$2,Mail!$A84)-LEN(Y$2),FIND("■",Mail!$A84,FIND(Y$2,Mail!$A84)+LEN(Y$2))-FIND(Y$2,Mail!$A84)-LEN(Y$2)-1)))))</f>
        <v/>
      </c>
      <c r="Z86" t="str">
        <f>TRIM(CLEAN(IF(ISERROR(FIND(Z$2,Mail!$A84)),"",MID(Mail!$A84,FIND(Z$2,Mail!$A84)+LEN(Z$2)+1,IF(ISERROR(FIND("■",Mail!$A84,FIND(Z$2,Mail!$A84)+LEN(Z$2))-FIND(Z$2,Mail!$A84)-LEN(Z$2)),LEN(Mail!$A84)-60-FIND(Z$2,Mail!$A84)-LEN(Z$2),FIND("■",Mail!$A84,FIND(Z$2,Mail!$A84)+LEN(Z$2))-FIND(Z$2,Mail!$A84)-LEN(Z$2)-1)))))</f>
        <v/>
      </c>
      <c r="AA86" t="str">
        <f>TRIM(CLEAN(IF(ISERROR(FIND(AA$2,Mail!$A84)),"",MID(Mail!$A84,FIND(AA$2,Mail!$A84)+LEN(AA$2)+1,IF(ISERROR(FIND("■",Mail!$A84,FIND(AA$2,Mail!$A84)+LEN(AA$2))-FIND(AA$2,Mail!$A84)-LEN(AA$2)),LEN(Mail!$A84)-60-FIND(AA$2,Mail!$A84)-LEN(AA$2),FIND("■",Mail!$A84,FIND(AA$2,Mail!$A84)+LEN(AA$2))-FIND(AA$2,Mail!$A84)-LEN(AA$2)-1)))))</f>
        <v/>
      </c>
      <c r="AB86" t="str">
        <f>TRIM(CLEAN(IF(ISERROR(FIND(AB$2,Mail!$A84)),"",MID(Mail!$A84,FIND(AB$2,Mail!$A84)+LEN(AB$2)+1,IF(ISERROR(FIND("■",Mail!$A84,FIND(AB$2,Mail!$A84)+LEN(AB$2))-FIND(AB$2,Mail!$A84)-LEN(AB$2)),LEN(Mail!$A84)-60-FIND(AB$2,Mail!$A84)-LEN(AB$2),FIND("■",Mail!$A84,FIND(AB$2,Mail!$A84)+LEN(AB$2))-FIND(AB$2,Mail!$A84)-LEN(AB$2)-1)))))</f>
        <v/>
      </c>
      <c r="AC86" s="8" t="str">
        <f>TRIM(CLEAN(IF(ISERROR(FIND(AC$2,Mail!$A84)),"",MID(Mail!$A84,FIND(AC$2,Mail!$A84)+LEN(AC$2)+1,IF(ISERROR(FIND("■",Mail!$A84,FIND(AC$2,Mail!$A84)+LEN(AC$2))-FIND(AC$2,Mail!$A84)-LEN(AC$2)),LEN(Mail!$A84)-60-FIND(AC$2,Mail!$A84)-LEN(AC$2),FIND("■",Mail!$A84,FIND(AC$2,Mail!$A84)+LEN(AC$2))-FIND(AC$2,Mail!$A84)-LEN(AC$2)-1)))))</f>
        <v/>
      </c>
      <c r="AD86" t="str">
        <f>TRIM(CLEAN(IF(ISERROR(FIND(AD$2,Mail!$A84)),"",MID(Mail!$A84,FIND(AD$2,Mail!$A84)+LEN(AD$2)+1,IF(ISERROR(FIND("■",Mail!$A84,FIND(AD$2,Mail!$A84)+LEN(AD$2))-FIND(AD$2,Mail!$A84)-LEN(AD$2)),LEN(Mail!$A84)-60-FIND(AD$2,Mail!$A84)-LEN(AD$2),FIND("■",Mail!$A84,FIND(AD$2,Mail!$A84)+LEN(AD$2))-FIND(AD$2,Mail!$A84)-LEN(AD$2)-1)))))</f>
        <v/>
      </c>
      <c r="AE86" t="str">
        <f>TRIM(CLEAN(IF(ISERROR(FIND(AE$2,Mail!$A84)),"",MID(Mail!$A84,FIND(AE$2,Mail!$A84)+LEN(AE$2)+1,IF(ISERROR(FIND("■",Mail!$A84,FIND(AE$2,Mail!$A84)+LEN(AE$2))-FIND(AE$2,Mail!$A84)-LEN(AE$2)),LEN(Mail!$A84)-60-FIND(AE$2,Mail!$A84)-LEN(AE$2),FIND("■",Mail!$A84,FIND(AE$2,Mail!$A84)+LEN(AE$2))-FIND(AE$2,Mail!$A84)-LEN(AE$2)-1)))))</f>
        <v/>
      </c>
      <c r="AF86" t="str">
        <f>TRIM(CLEAN(IF(ISERROR(FIND(AF$2,Mail!$A84)),"",MID(Mail!$A84,FIND(AF$2,Mail!$A84)+LEN(AF$2)+1,IF(ISERROR(FIND("■",Mail!$A84,FIND(AF$2,Mail!$A84)+LEN(AF$2))-FIND(AF$2,Mail!$A84)-LEN(AF$2)),LEN(Mail!$A84)-60-FIND(AF$2,Mail!$A84)-LEN(AF$2),FIND("■",Mail!$A84,FIND(AF$2,Mail!$A84)+LEN(AF$2))-FIND(AF$2,Mail!$A84)-LEN(AF$2)-1)))))</f>
        <v/>
      </c>
      <c r="AG86" t="str">
        <f>TRIM(IF(ISERROR(FIND(AG$2,Mail!$A84)),"",MID(Mail!$A84,FIND(AG$2,Mail!$A84)+LEN(AG$2)+1,IF(ISERROR(FIND("■",Mail!$A84,FIND(AG$2,Mail!$A84)+LEN(AG$2))-FIND(AG$2,Mail!$A84)-LEN(AG$2)),LEN(Mail!$A84)-60-FIND(AG$2,Mail!$A84)-LEN(AG$2),FIND("■",Mail!$A84,FIND(AG$2,Mail!$A84)+LEN(AG$2))-FIND(AG$2,Mail!$A84)-LEN(AG$2)-1))))</f>
        <v/>
      </c>
      <c r="AH86" t="str">
        <f>TRIM(IF(ISERROR(FIND(AH$2,Mail!$A84)),"",MID(Mail!$A84,FIND(AH$2,Mail!$A84)+LEN(AH$2)+1,IF(ISERROR(FIND("■",Mail!$A84,FIND(AH$2,Mail!$A84)+LEN(AH$2))-FIND(AH$2,Mail!$A84)-LEN(AH$2)),LEN(Mail!$A84)-60-FIND(AH$2,Mail!$A84)-LEN(AH$2),FIND("■",Mail!$A84,FIND(AH$2,Mail!$A84)+LEN(AH$2))-FIND(AH$2,Mail!$A84)-LEN(AH$2)-1))))</f>
        <v/>
      </c>
      <c r="AI86" t="str">
        <f>TRIM(IF(ISERROR(FIND(AI$2,Mail!$A84)),"",MID(Mail!$A84,FIND(AI$2,Mail!$A84)+LEN(AI$2)+1,IF(ISERROR(FIND("■",Mail!$A84,FIND(AI$2,Mail!$A84)+LEN(AI$2))-FIND(AI$2,Mail!$A84)-LEN(AI$2)),LEN(Mail!$A84)-60-FIND(AI$2,Mail!$A84)-LEN(AI$2),FIND("■",Mail!$A84,FIND(AI$2,Mail!$A84)+LEN(AI$2))-FIND(AI$2,Mail!$A84)-LEN(AI$2)-1))))</f>
        <v/>
      </c>
    </row>
    <row r="87" spans="1:35" x14ac:dyDescent="0.15">
      <c r="A87" s="9" t="str">
        <f t="shared" si="6"/>
        <v/>
      </c>
      <c r="B87" s="8" t="str">
        <f>CLEAN(SUBSTITUTE(IF(ISERROR(FIND("yokohama",Mail!$A85)),"",MID(Mail!$A85,FIND("yokohama",Mail!$A85)+LEN("yokohama")+1,FIND("件目",Mail!$A85,FIND("yokohama",Mail!$A85))-(FIND("yokohama",Mail!$A85)+LEN("yokohama")+1)))," ",""))</f>
        <v/>
      </c>
      <c r="C87" s="2" t="str">
        <f t="shared" si="5"/>
        <v/>
      </c>
      <c r="D87" s="9" t="str">
        <f t="shared" si="7"/>
        <v/>
      </c>
      <c r="E87" s="8" t="str">
        <f t="shared" si="8"/>
        <v/>
      </c>
      <c r="F87" t="str">
        <f>TRIM(CLEAN(IF(ISERROR(FIND(F$2,Mail!$A85)),"",MID(Mail!$A85,FIND(F$2,Mail!$A85)+LEN(F$2)+1,IF(ISERROR(FIND("■",Mail!$A85,FIND(F$2,Mail!$A85)+LEN(F$2))-FIND(F$2,Mail!$A85)-LEN(F$2)),LEN(Mail!$A85)-60-FIND(F$2,Mail!$A85)-LEN(F$2),FIND("■",Mail!$A85,FIND(F$2,Mail!$A85)+LEN(F$2))-FIND(F$2,Mail!$A85)-LEN(F$2)-1)))))</f>
        <v/>
      </c>
      <c r="G87" t="str">
        <f>TRIM(CLEAN(IF(ISERROR(FIND(G$2,Mail!$A85)),"",MID(Mail!$A85,FIND(G$2,Mail!$A85)+LEN(G$2)+1,IF(ISERROR(FIND("■",Mail!$A85,FIND(G$2,Mail!$A85)+LEN(G$2))-FIND(G$2,Mail!$A85)-LEN(G$2)),LEN(Mail!$A85)-60-FIND(G$2,Mail!$A85)-LEN(G$2),FIND("■",Mail!$A85,FIND(G$2,Mail!$A85)+LEN(G$2))-FIND(G$2,Mail!$A85)-LEN(G$2)-1)))))</f>
        <v/>
      </c>
      <c r="H87" s="8" t="str">
        <f>TRIM(CLEAN(IF(ISERROR(FIND(H$2,Mail!$A85)),"",MID(Mail!$A85,FIND(H$2,Mail!$A85)+LEN(H$2)+1,IF(ISERROR(FIND("■",Mail!$A85,FIND(H$2,Mail!$A85)+LEN(H$2))-FIND(H$2,Mail!$A85)-LEN(H$2)),LEN(Mail!$A85)-60-FIND(H$2,Mail!$A85)-LEN(H$2),FIND("■",Mail!$A85,FIND(H$2,Mail!$A85)+LEN(H$2))-FIND(H$2,Mail!$A85)-LEN(H$2)-1)))))</f>
        <v/>
      </c>
      <c r="I87" t="str">
        <f>TRIM(CLEAN(IF(ISERROR(FIND(I$2,Mail!$A85)),"",MID(Mail!$A85,FIND(I$2,Mail!$A85)+LEN(I$2)+1,IF(ISERROR(FIND("■",Mail!$A85,FIND(I$2,Mail!$A85)+LEN(I$2))-FIND(I$2,Mail!$A85)-LEN(I$2)),LEN(Mail!$A85)-60-FIND(I$2,Mail!$A85)-LEN(I$2),FIND("■",Mail!$A85,FIND(I$2,Mail!$A85)+LEN(I$2))-FIND(I$2,Mail!$A85)-LEN(I$2)-1)))))</f>
        <v/>
      </c>
      <c r="J87" t="str">
        <f>TRIM(IF(ISERROR(FIND(J$2,Mail!$A85)),"",MID(Mail!$A85,FIND(J$2,Mail!$A85)+LEN(J$2)+1,IF(ISERROR(FIND("■",Mail!$A85,FIND(J$2,Mail!$A85)+LEN(J$2))-FIND(J$2,Mail!$A85)-LEN(J$2)),LEN(Mail!$A85)-60-FIND(J$2,Mail!$A85)-LEN(J$2),FIND("■",Mail!$A85,FIND(J$2,Mail!$A85)+LEN(J$2))-FIND(J$2,Mail!$A85)-LEN(J$2)-1))))</f>
        <v/>
      </c>
      <c r="K87" t="str">
        <f>TRIM(IF(ISERROR(FIND(K$2,Mail!$A85)),"",MID(Mail!$A85,FIND(K$2,Mail!$A85)+LEN(K$2)+1,IF(ISERROR(FIND("■",Mail!$A85,FIND(K$2,Mail!$A85)+LEN(K$2))-FIND(K$2,Mail!$A85)-LEN(K$2)),LEN(Mail!$A85)-60-FIND(K$2,Mail!$A85)-LEN(K$2),FIND("■",Mail!$A85,FIND(K$2,Mail!$A85)+LEN(K$2))-FIND(K$2,Mail!$A85)-LEN(K$2)-1))))</f>
        <v/>
      </c>
      <c r="L87" t="str">
        <f>TRIM(IF(ISERROR(FIND(L$2,Mail!$A85)),"",MID(Mail!$A85,FIND(L$2,Mail!$A85)+LEN(L$2)+1,IF(ISERROR(FIND("■",Mail!$A85,FIND(L$2,Mail!$A85)+LEN(L$2))-FIND(L$2,Mail!$A85)-LEN(L$2)),LEN(Mail!$A85)-60-FIND(L$2,Mail!$A85)-LEN(L$2),FIND("■",Mail!$A85,FIND(L$2,Mail!$A85)+LEN(L$2))-FIND(L$2,Mail!$A85)-LEN(L$2)-1))))</f>
        <v/>
      </c>
      <c r="M87" t="str">
        <f>TRIM(CLEAN(IF(ISERROR(FIND(M$2,Mail!$A85)),"",MID(Mail!$A85,FIND(M$2,Mail!$A85)+LEN(M$2)+1,IF(ISERROR(FIND("■",Mail!$A85,FIND(M$2,Mail!$A85)+LEN(M$2))-FIND(M$2,Mail!$A85)-LEN(M$2)),LEN(Mail!$A85)-60-FIND(M$2,Mail!$A85)-LEN(M$2),FIND("■",Mail!$A85,FIND(M$2,Mail!$A85)+LEN(M$2))-FIND(M$2,Mail!$A85)-LEN(M$2)-1)))))</f>
        <v/>
      </c>
      <c r="N87" t="str">
        <f>TRIM(CLEAN(IF(ISERROR(FIND(N$2,Mail!$A85)),"",MID(Mail!$A85,FIND(N$2,Mail!$A85)+LEN(N$2)+1,IF(ISERROR(FIND("■",Mail!$A85,FIND(N$2,Mail!$A85)+LEN(N$2))-FIND(N$2,Mail!$A85)-LEN(N$2)),LEN(Mail!$A85)-60-FIND(N$2,Mail!$A85)-LEN(N$2),FIND("■",Mail!$A85,FIND(N$2,Mail!$A85)+LEN(N$2))-FIND(N$2,Mail!$A85)-LEN(N$2)-1)))))</f>
        <v/>
      </c>
      <c r="O87" t="str">
        <f>TRIM(CLEAN(IF(ISERROR(FIND(O$2,Mail!$A85)),"",MID(Mail!$A85,FIND(O$2,Mail!$A85)+LEN(O$2)+1,IF(ISERROR(FIND("■",Mail!$A85,FIND(O$2,Mail!$A85)+LEN(O$2))-FIND(O$2,Mail!$A85)-LEN(O$2)),LEN(Mail!$A85)-60-FIND(O$2,Mail!$A85)-LEN(O$2),FIND("■",Mail!$A85,FIND(O$2,Mail!$A85)+LEN(O$2))-FIND(O$2,Mail!$A85)-LEN(O$2)-1)))))</f>
        <v/>
      </c>
      <c r="P87" t="str">
        <f>TRIM(CLEAN(IF(ISERROR(FIND(P$2,Mail!$A85)),"",MID(Mail!$A85,FIND(P$2,Mail!$A85)+LEN(P$2)+1,IF(ISERROR(FIND("■",Mail!$A85,FIND(P$2,Mail!$A85)+LEN(P$2))-FIND(P$2,Mail!$A85)-LEN(P$2)),LEN(Mail!$A85)-60-FIND(P$2,Mail!$A85)-LEN(P$2),FIND("■",Mail!$A85,FIND(P$2,Mail!$A85)+LEN(P$2))-FIND(P$2,Mail!$A85)-LEN(P$2)-1)))))</f>
        <v/>
      </c>
      <c r="Q87" t="str">
        <f>TRIM(CLEAN(IF(ISERROR(FIND(Q$2,Mail!$A85)),"",MID(Mail!$A85,FIND(Q$2,Mail!$A85)+LEN(Q$2)+1,IF(ISERROR(FIND("■",Mail!$A85,FIND(Q$2,Mail!$A85)+LEN(Q$2))-FIND(Q$2,Mail!$A85)-LEN(Q$2)),LEN(Mail!$A85)-60-FIND(Q$2,Mail!$A85)-LEN(Q$2),FIND("■",Mail!$A85,FIND(Q$2,Mail!$A85)+LEN(Q$2))-FIND(Q$2,Mail!$A85)-LEN(Q$2)-1)))))</f>
        <v/>
      </c>
      <c r="R87" s="8" t="str">
        <f>TRIM(CLEAN(IF(ISERROR(FIND(R$2,Mail!$A85)),"",MID(Mail!$A85,FIND(R$2,Mail!$A85)+LEN(R$2)+1,IF(ISERROR(FIND("■",Mail!$A85,FIND(R$2,Mail!$A85)+LEN(R$2))-FIND(R$2,Mail!$A85)-LEN(R$2)),LEN(Mail!$A85)-60-FIND(R$2,Mail!$A85)-LEN(R$2),FIND("■",Mail!$A85,FIND(R$2,Mail!$A85)+LEN(R$2))-FIND(R$2,Mail!$A85)-LEN(R$2)-1)))))</f>
        <v/>
      </c>
      <c r="S87" t="str">
        <f>TRIM(CLEAN(IF(ISERROR(FIND(S$2,Mail!$A85)),"",MID(Mail!$A85,FIND(S$2,Mail!$A85)+LEN(S$2)+1,IF(ISERROR(FIND("■",Mail!$A85,FIND(S$2,Mail!$A85)+LEN(S$2))-FIND(S$2,Mail!$A85)-LEN(S$2)),LEN(Mail!$A85)-60-FIND(S$2,Mail!$A85)-LEN(S$2),FIND("■",Mail!$A85,FIND(S$2,Mail!$A85)+LEN(S$2))-FIND(S$2,Mail!$A85)-LEN(S$2)-1)))))</f>
        <v/>
      </c>
      <c r="T87" t="str">
        <f>TRIM(CLEAN(IF(ISERROR(FIND(T$2,Mail!$A85)),"",MID(Mail!$A85,FIND(T$2,Mail!$A85)+LEN(T$2)+1,IF(ISERROR(FIND("■",Mail!$A85,FIND(T$2,Mail!$A85)+LEN(T$2))-FIND(T$2,Mail!$A85)-LEN(T$2)),LEN(Mail!$A85)-60-FIND(T$2,Mail!$A85)-LEN(T$2),FIND("■",Mail!$A85,FIND(T$2,Mail!$A85)+LEN(T$2))-FIND(T$2,Mail!$A85)-LEN(T$2)-1)))))</f>
        <v/>
      </c>
      <c r="U87" t="str">
        <f>TRIM(CLEAN(IF(ISERROR(FIND(U$2,Mail!$A85)),"",MID(Mail!$A85,FIND(U$2,Mail!$A85)+LEN(U$2)+1,IF(ISERROR(FIND("■",Mail!$A85,FIND(U$2,Mail!$A85)+LEN(U$2))-FIND(U$2,Mail!$A85)-LEN(U$2)),LEN(Mail!$A85)-60-FIND(U$2,Mail!$A85)-LEN(U$2),FIND("■",Mail!$A85,FIND(U$2,Mail!$A85)+LEN(U$2))-FIND(U$2,Mail!$A85)-LEN(U$2)-1)))))</f>
        <v/>
      </c>
      <c r="V87" t="str">
        <f>TRIM(CLEAN(IF(ISERROR(FIND(V$2,Mail!$A85)),"",MID(Mail!$A85,FIND(V$2,Mail!$A85)+LEN(V$2)+1,IF(ISERROR(FIND("■",Mail!$A85,FIND(V$2,Mail!$A85)+LEN(V$2))-FIND(V$2,Mail!$A85)-LEN(V$2)),LEN(Mail!$A85)-60-FIND(V$2,Mail!$A85)-LEN(V$2),FIND("■",Mail!$A85,FIND(V$2,Mail!$A85)+LEN(V$2))-FIND(V$2,Mail!$A85)-LEN(V$2)-1)))))</f>
        <v/>
      </c>
      <c r="W87" t="str">
        <f>TRIM(CLEAN(IF(ISERROR(FIND(W$2,Mail!$A85)),"",MID(Mail!$A85,FIND(W$2,Mail!$A85)+LEN(W$2)+1,IF(ISERROR(FIND("■",Mail!$A85,FIND(W$2,Mail!$A85)+LEN(W$2))-FIND(W$2,Mail!$A85)-LEN(W$2)),LEN(Mail!$A85)-60-FIND(W$2,Mail!$A85)-LEN(W$2),FIND("■",Mail!$A85,FIND(W$2,Mail!$A85)+LEN(W$2))-FIND(W$2,Mail!$A85)-LEN(W$2)-1)))))</f>
        <v/>
      </c>
      <c r="X87" t="str">
        <f>TRIM(IF(ISERROR(FIND(X$2,Mail!$A85)),"",MID(Mail!$A85,FIND(X$2,Mail!$A85)+LEN(X$2)+1,IF(ISERROR(FIND("■",Mail!$A85,FIND(X$2,Mail!$A85)+LEN(X$2))-FIND(X$2,Mail!$A85)-LEN(X$2)),LEN(Mail!$A85)-60-FIND(X$2,Mail!$A85)-LEN(X$2),FIND("■",Mail!$A85,FIND(X$2,Mail!$A85)+LEN(X$2))-FIND(X$2,Mail!$A85)-LEN(X$2)-1))))</f>
        <v/>
      </c>
      <c r="Y87" t="str">
        <f>TRIM(CLEAN(IF(ISERROR(FIND(Y$2,Mail!$A85)),"",MID(Mail!$A85,FIND(Y$2,Mail!$A85)+LEN(Y$2)+1,IF(ISERROR(FIND("■",Mail!$A85,FIND(Y$2,Mail!$A85)+LEN(Y$2))-FIND(Y$2,Mail!$A85)-LEN(Y$2)),LEN(Mail!$A85)-60-FIND(Y$2,Mail!$A85)-LEN(Y$2),FIND("■",Mail!$A85,FIND(Y$2,Mail!$A85)+LEN(Y$2))-FIND(Y$2,Mail!$A85)-LEN(Y$2)-1)))))</f>
        <v/>
      </c>
      <c r="Z87" t="str">
        <f>TRIM(CLEAN(IF(ISERROR(FIND(Z$2,Mail!$A85)),"",MID(Mail!$A85,FIND(Z$2,Mail!$A85)+LEN(Z$2)+1,IF(ISERROR(FIND("■",Mail!$A85,FIND(Z$2,Mail!$A85)+LEN(Z$2))-FIND(Z$2,Mail!$A85)-LEN(Z$2)),LEN(Mail!$A85)-60-FIND(Z$2,Mail!$A85)-LEN(Z$2),FIND("■",Mail!$A85,FIND(Z$2,Mail!$A85)+LEN(Z$2))-FIND(Z$2,Mail!$A85)-LEN(Z$2)-1)))))</f>
        <v/>
      </c>
      <c r="AA87" t="str">
        <f>TRIM(CLEAN(IF(ISERROR(FIND(AA$2,Mail!$A85)),"",MID(Mail!$A85,FIND(AA$2,Mail!$A85)+LEN(AA$2)+1,IF(ISERROR(FIND("■",Mail!$A85,FIND(AA$2,Mail!$A85)+LEN(AA$2))-FIND(AA$2,Mail!$A85)-LEN(AA$2)),LEN(Mail!$A85)-60-FIND(AA$2,Mail!$A85)-LEN(AA$2),FIND("■",Mail!$A85,FIND(AA$2,Mail!$A85)+LEN(AA$2))-FIND(AA$2,Mail!$A85)-LEN(AA$2)-1)))))</f>
        <v/>
      </c>
      <c r="AB87" t="str">
        <f>TRIM(CLEAN(IF(ISERROR(FIND(AB$2,Mail!$A85)),"",MID(Mail!$A85,FIND(AB$2,Mail!$A85)+LEN(AB$2)+1,IF(ISERROR(FIND("■",Mail!$A85,FIND(AB$2,Mail!$A85)+LEN(AB$2))-FIND(AB$2,Mail!$A85)-LEN(AB$2)),LEN(Mail!$A85)-60-FIND(AB$2,Mail!$A85)-LEN(AB$2),FIND("■",Mail!$A85,FIND(AB$2,Mail!$A85)+LEN(AB$2))-FIND(AB$2,Mail!$A85)-LEN(AB$2)-1)))))</f>
        <v/>
      </c>
      <c r="AC87" s="8" t="str">
        <f>TRIM(CLEAN(IF(ISERROR(FIND(AC$2,Mail!$A85)),"",MID(Mail!$A85,FIND(AC$2,Mail!$A85)+LEN(AC$2)+1,IF(ISERROR(FIND("■",Mail!$A85,FIND(AC$2,Mail!$A85)+LEN(AC$2))-FIND(AC$2,Mail!$A85)-LEN(AC$2)),LEN(Mail!$A85)-60-FIND(AC$2,Mail!$A85)-LEN(AC$2),FIND("■",Mail!$A85,FIND(AC$2,Mail!$A85)+LEN(AC$2))-FIND(AC$2,Mail!$A85)-LEN(AC$2)-1)))))</f>
        <v/>
      </c>
      <c r="AD87" t="str">
        <f>TRIM(CLEAN(IF(ISERROR(FIND(AD$2,Mail!$A85)),"",MID(Mail!$A85,FIND(AD$2,Mail!$A85)+LEN(AD$2)+1,IF(ISERROR(FIND("■",Mail!$A85,FIND(AD$2,Mail!$A85)+LEN(AD$2))-FIND(AD$2,Mail!$A85)-LEN(AD$2)),LEN(Mail!$A85)-60-FIND(AD$2,Mail!$A85)-LEN(AD$2),FIND("■",Mail!$A85,FIND(AD$2,Mail!$A85)+LEN(AD$2))-FIND(AD$2,Mail!$A85)-LEN(AD$2)-1)))))</f>
        <v/>
      </c>
      <c r="AE87" t="str">
        <f>TRIM(CLEAN(IF(ISERROR(FIND(AE$2,Mail!$A85)),"",MID(Mail!$A85,FIND(AE$2,Mail!$A85)+LEN(AE$2)+1,IF(ISERROR(FIND("■",Mail!$A85,FIND(AE$2,Mail!$A85)+LEN(AE$2))-FIND(AE$2,Mail!$A85)-LEN(AE$2)),LEN(Mail!$A85)-60-FIND(AE$2,Mail!$A85)-LEN(AE$2),FIND("■",Mail!$A85,FIND(AE$2,Mail!$A85)+LEN(AE$2))-FIND(AE$2,Mail!$A85)-LEN(AE$2)-1)))))</f>
        <v/>
      </c>
      <c r="AF87" t="str">
        <f>TRIM(CLEAN(IF(ISERROR(FIND(AF$2,Mail!$A85)),"",MID(Mail!$A85,FIND(AF$2,Mail!$A85)+LEN(AF$2)+1,IF(ISERROR(FIND("■",Mail!$A85,FIND(AF$2,Mail!$A85)+LEN(AF$2))-FIND(AF$2,Mail!$A85)-LEN(AF$2)),LEN(Mail!$A85)-60-FIND(AF$2,Mail!$A85)-LEN(AF$2),FIND("■",Mail!$A85,FIND(AF$2,Mail!$A85)+LEN(AF$2))-FIND(AF$2,Mail!$A85)-LEN(AF$2)-1)))))</f>
        <v/>
      </c>
      <c r="AG87" t="str">
        <f>TRIM(IF(ISERROR(FIND(AG$2,Mail!$A85)),"",MID(Mail!$A85,FIND(AG$2,Mail!$A85)+LEN(AG$2)+1,IF(ISERROR(FIND("■",Mail!$A85,FIND(AG$2,Mail!$A85)+LEN(AG$2))-FIND(AG$2,Mail!$A85)-LEN(AG$2)),LEN(Mail!$A85)-60-FIND(AG$2,Mail!$A85)-LEN(AG$2),FIND("■",Mail!$A85,FIND(AG$2,Mail!$A85)+LEN(AG$2))-FIND(AG$2,Mail!$A85)-LEN(AG$2)-1))))</f>
        <v/>
      </c>
      <c r="AH87" t="str">
        <f>TRIM(IF(ISERROR(FIND(AH$2,Mail!$A85)),"",MID(Mail!$A85,FIND(AH$2,Mail!$A85)+LEN(AH$2)+1,IF(ISERROR(FIND("■",Mail!$A85,FIND(AH$2,Mail!$A85)+LEN(AH$2))-FIND(AH$2,Mail!$A85)-LEN(AH$2)),LEN(Mail!$A85)-60-FIND(AH$2,Mail!$A85)-LEN(AH$2),FIND("■",Mail!$A85,FIND(AH$2,Mail!$A85)+LEN(AH$2))-FIND(AH$2,Mail!$A85)-LEN(AH$2)-1))))</f>
        <v/>
      </c>
      <c r="AI87" t="str">
        <f>TRIM(IF(ISERROR(FIND(AI$2,Mail!$A85)),"",MID(Mail!$A85,FIND(AI$2,Mail!$A85)+LEN(AI$2)+1,IF(ISERROR(FIND("■",Mail!$A85,FIND(AI$2,Mail!$A85)+LEN(AI$2))-FIND(AI$2,Mail!$A85)-LEN(AI$2)),LEN(Mail!$A85)-60-FIND(AI$2,Mail!$A85)-LEN(AI$2),FIND("■",Mail!$A85,FIND(AI$2,Mail!$A85)+LEN(AI$2))-FIND(AI$2,Mail!$A85)-LEN(AI$2)-1))))</f>
        <v/>
      </c>
    </row>
    <row r="88" spans="1:35" x14ac:dyDescent="0.15">
      <c r="A88" s="9" t="str">
        <f t="shared" si="6"/>
        <v/>
      </c>
      <c r="B88" s="8" t="str">
        <f>CLEAN(SUBSTITUTE(IF(ISERROR(FIND("yokohama",Mail!$A86)),"",MID(Mail!$A86,FIND("yokohama",Mail!$A86)+LEN("yokohama")+1,FIND("件目",Mail!$A86,FIND("yokohama",Mail!$A86))-(FIND("yokohama",Mail!$A86)+LEN("yokohama")+1)))," ",""))</f>
        <v/>
      </c>
      <c r="C88" s="2" t="str">
        <f t="shared" si="5"/>
        <v/>
      </c>
      <c r="D88" s="9" t="str">
        <f t="shared" si="7"/>
        <v/>
      </c>
      <c r="E88" s="8" t="str">
        <f t="shared" si="8"/>
        <v/>
      </c>
      <c r="F88" t="str">
        <f>TRIM(CLEAN(IF(ISERROR(FIND(F$2,Mail!$A86)),"",MID(Mail!$A86,FIND(F$2,Mail!$A86)+LEN(F$2)+1,IF(ISERROR(FIND("■",Mail!$A86,FIND(F$2,Mail!$A86)+LEN(F$2))-FIND(F$2,Mail!$A86)-LEN(F$2)),LEN(Mail!$A86)-60-FIND(F$2,Mail!$A86)-LEN(F$2),FIND("■",Mail!$A86,FIND(F$2,Mail!$A86)+LEN(F$2))-FIND(F$2,Mail!$A86)-LEN(F$2)-1)))))</f>
        <v/>
      </c>
      <c r="G88" t="str">
        <f>TRIM(CLEAN(IF(ISERROR(FIND(G$2,Mail!$A86)),"",MID(Mail!$A86,FIND(G$2,Mail!$A86)+LEN(G$2)+1,IF(ISERROR(FIND("■",Mail!$A86,FIND(G$2,Mail!$A86)+LEN(G$2))-FIND(G$2,Mail!$A86)-LEN(G$2)),LEN(Mail!$A86)-60-FIND(G$2,Mail!$A86)-LEN(G$2),FIND("■",Mail!$A86,FIND(G$2,Mail!$A86)+LEN(G$2))-FIND(G$2,Mail!$A86)-LEN(G$2)-1)))))</f>
        <v/>
      </c>
      <c r="H88" s="8" t="str">
        <f>TRIM(CLEAN(IF(ISERROR(FIND(H$2,Mail!$A86)),"",MID(Mail!$A86,FIND(H$2,Mail!$A86)+LEN(H$2)+1,IF(ISERROR(FIND("■",Mail!$A86,FIND(H$2,Mail!$A86)+LEN(H$2))-FIND(H$2,Mail!$A86)-LEN(H$2)),LEN(Mail!$A86)-60-FIND(H$2,Mail!$A86)-LEN(H$2),FIND("■",Mail!$A86,FIND(H$2,Mail!$A86)+LEN(H$2))-FIND(H$2,Mail!$A86)-LEN(H$2)-1)))))</f>
        <v/>
      </c>
      <c r="I88" t="str">
        <f>TRIM(CLEAN(IF(ISERROR(FIND(I$2,Mail!$A86)),"",MID(Mail!$A86,FIND(I$2,Mail!$A86)+LEN(I$2)+1,IF(ISERROR(FIND("■",Mail!$A86,FIND(I$2,Mail!$A86)+LEN(I$2))-FIND(I$2,Mail!$A86)-LEN(I$2)),LEN(Mail!$A86)-60-FIND(I$2,Mail!$A86)-LEN(I$2),FIND("■",Mail!$A86,FIND(I$2,Mail!$A86)+LEN(I$2))-FIND(I$2,Mail!$A86)-LEN(I$2)-1)))))</f>
        <v/>
      </c>
      <c r="J88" t="str">
        <f>TRIM(IF(ISERROR(FIND(J$2,Mail!$A86)),"",MID(Mail!$A86,FIND(J$2,Mail!$A86)+LEN(J$2)+1,IF(ISERROR(FIND("■",Mail!$A86,FIND(J$2,Mail!$A86)+LEN(J$2))-FIND(J$2,Mail!$A86)-LEN(J$2)),LEN(Mail!$A86)-60-FIND(J$2,Mail!$A86)-LEN(J$2),FIND("■",Mail!$A86,FIND(J$2,Mail!$A86)+LEN(J$2))-FIND(J$2,Mail!$A86)-LEN(J$2)-1))))</f>
        <v/>
      </c>
      <c r="K88" t="str">
        <f>TRIM(IF(ISERROR(FIND(K$2,Mail!$A86)),"",MID(Mail!$A86,FIND(K$2,Mail!$A86)+LEN(K$2)+1,IF(ISERROR(FIND("■",Mail!$A86,FIND(K$2,Mail!$A86)+LEN(K$2))-FIND(K$2,Mail!$A86)-LEN(K$2)),LEN(Mail!$A86)-60-FIND(K$2,Mail!$A86)-LEN(K$2),FIND("■",Mail!$A86,FIND(K$2,Mail!$A86)+LEN(K$2))-FIND(K$2,Mail!$A86)-LEN(K$2)-1))))</f>
        <v/>
      </c>
      <c r="L88" t="str">
        <f>TRIM(IF(ISERROR(FIND(L$2,Mail!$A86)),"",MID(Mail!$A86,FIND(L$2,Mail!$A86)+LEN(L$2)+1,IF(ISERROR(FIND("■",Mail!$A86,FIND(L$2,Mail!$A86)+LEN(L$2))-FIND(L$2,Mail!$A86)-LEN(L$2)),LEN(Mail!$A86)-60-FIND(L$2,Mail!$A86)-LEN(L$2),FIND("■",Mail!$A86,FIND(L$2,Mail!$A86)+LEN(L$2))-FIND(L$2,Mail!$A86)-LEN(L$2)-1))))</f>
        <v/>
      </c>
      <c r="M88" t="str">
        <f>TRIM(CLEAN(IF(ISERROR(FIND(M$2,Mail!$A86)),"",MID(Mail!$A86,FIND(M$2,Mail!$A86)+LEN(M$2)+1,IF(ISERROR(FIND("■",Mail!$A86,FIND(M$2,Mail!$A86)+LEN(M$2))-FIND(M$2,Mail!$A86)-LEN(M$2)),LEN(Mail!$A86)-60-FIND(M$2,Mail!$A86)-LEN(M$2),FIND("■",Mail!$A86,FIND(M$2,Mail!$A86)+LEN(M$2))-FIND(M$2,Mail!$A86)-LEN(M$2)-1)))))</f>
        <v/>
      </c>
      <c r="N88" t="str">
        <f>TRIM(CLEAN(IF(ISERROR(FIND(N$2,Mail!$A86)),"",MID(Mail!$A86,FIND(N$2,Mail!$A86)+LEN(N$2)+1,IF(ISERROR(FIND("■",Mail!$A86,FIND(N$2,Mail!$A86)+LEN(N$2))-FIND(N$2,Mail!$A86)-LEN(N$2)),LEN(Mail!$A86)-60-FIND(N$2,Mail!$A86)-LEN(N$2),FIND("■",Mail!$A86,FIND(N$2,Mail!$A86)+LEN(N$2))-FIND(N$2,Mail!$A86)-LEN(N$2)-1)))))</f>
        <v/>
      </c>
      <c r="O88" t="str">
        <f>TRIM(CLEAN(IF(ISERROR(FIND(O$2,Mail!$A86)),"",MID(Mail!$A86,FIND(O$2,Mail!$A86)+LEN(O$2)+1,IF(ISERROR(FIND("■",Mail!$A86,FIND(O$2,Mail!$A86)+LEN(O$2))-FIND(O$2,Mail!$A86)-LEN(O$2)),LEN(Mail!$A86)-60-FIND(O$2,Mail!$A86)-LEN(O$2),FIND("■",Mail!$A86,FIND(O$2,Mail!$A86)+LEN(O$2))-FIND(O$2,Mail!$A86)-LEN(O$2)-1)))))</f>
        <v/>
      </c>
      <c r="P88" t="str">
        <f>TRIM(CLEAN(IF(ISERROR(FIND(P$2,Mail!$A86)),"",MID(Mail!$A86,FIND(P$2,Mail!$A86)+LEN(P$2)+1,IF(ISERROR(FIND("■",Mail!$A86,FIND(P$2,Mail!$A86)+LEN(P$2))-FIND(P$2,Mail!$A86)-LEN(P$2)),LEN(Mail!$A86)-60-FIND(P$2,Mail!$A86)-LEN(P$2),FIND("■",Mail!$A86,FIND(P$2,Mail!$A86)+LEN(P$2))-FIND(P$2,Mail!$A86)-LEN(P$2)-1)))))</f>
        <v/>
      </c>
      <c r="Q88" t="str">
        <f>TRIM(CLEAN(IF(ISERROR(FIND(Q$2,Mail!$A86)),"",MID(Mail!$A86,FIND(Q$2,Mail!$A86)+LEN(Q$2)+1,IF(ISERROR(FIND("■",Mail!$A86,FIND(Q$2,Mail!$A86)+LEN(Q$2))-FIND(Q$2,Mail!$A86)-LEN(Q$2)),LEN(Mail!$A86)-60-FIND(Q$2,Mail!$A86)-LEN(Q$2),FIND("■",Mail!$A86,FIND(Q$2,Mail!$A86)+LEN(Q$2))-FIND(Q$2,Mail!$A86)-LEN(Q$2)-1)))))</f>
        <v/>
      </c>
      <c r="R88" s="8" t="str">
        <f>TRIM(CLEAN(IF(ISERROR(FIND(R$2,Mail!$A86)),"",MID(Mail!$A86,FIND(R$2,Mail!$A86)+LEN(R$2)+1,IF(ISERROR(FIND("■",Mail!$A86,FIND(R$2,Mail!$A86)+LEN(R$2))-FIND(R$2,Mail!$A86)-LEN(R$2)),LEN(Mail!$A86)-60-FIND(R$2,Mail!$A86)-LEN(R$2),FIND("■",Mail!$A86,FIND(R$2,Mail!$A86)+LEN(R$2))-FIND(R$2,Mail!$A86)-LEN(R$2)-1)))))</f>
        <v/>
      </c>
      <c r="S88" t="str">
        <f>TRIM(CLEAN(IF(ISERROR(FIND(S$2,Mail!$A86)),"",MID(Mail!$A86,FIND(S$2,Mail!$A86)+LEN(S$2)+1,IF(ISERROR(FIND("■",Mail!$A86,FIND(S$2,Mail!$A86)+LEN(S$2))-FIND(S$2,Mail!$A86)-LEN(S$2)),LEN(Mail!$A86)-60-FIND(S$2,Mail!$A86)-LEN(S$2),FIND("■",Mail!$A86,FIND(S$2,Mail!$A86)+LEN(S$2))-FIND(S$2,Mail!$A86)-LEN(S$2)-1)))))</f>
        <v/>
      </c>
      <c r="T88" t="str">
        <f>TRIM(CLEAN(IF(ISERROR(FIND(T$2,Mail!$A86)),"",MID(Mail!$A86,FIND(T$2,Mail!$A86)+LEN(T$2)+1,IF(ISERROR(FIND("■",Mail!$A86,FIND(T$2,Mail!$A86)+LEN(T$2))-FIND(T$2,Mail!$A86)-LEN(T$2)),LEN(Mail!$A86)-60-FIND(T$2,Mail!$A86)-LEN(T$2),FIND("■",Mail!$A86,FIND(T$2,Mail!$A86)+LEN(T$2))-FIND(T$2,Mail!$A86)-LEN(T$2)-1)))))</f>
        <v/>
      </c>
      <c r="U88" t="str">
        <f>TRIM(CLEAN(IF(ISERROR(FIND(U$2,Mail!$A86)),"",MID(Mail!$A86,FIND(U$2,Mail!$A86)+LEN(U$2)+1,IF(ISERROR(FIND("■",Mail!$A86,FIND(U$2,Mail!$A86)+LEN(U$2))-FIND(U$2,Mail!$A86)-LEN(U$2)),LEN(Mail!$A86)-60-FIND(U$2,Mail!$A86)-LEN(U$2),FIND("■",Mail!$A86,FIND(U$2,Mail!$A86)+LEN(U$2))-FIND(U$2,Mail!$A86)-LEN(U$2)-1)))))</f>
        <v/>
      </c>
      <c r="V88" t="str">
        <f>TRIM(CLEAN(IF(ISERROR(FIND(V$2,Mail!$A86)),"",MID(Mail!$A86,FIND(V$2,Mail!$A86)+LEN(V$2)+1,IF(ISERROR(FIND("■",Mail!$A86,FIND(V$2,Mail!$A86)+LEN(V$2))-FIND(V$2,Mail!$A86)-LEN(V$2)),LEN(Mail!$A86)-60-FIND(V$2,Mail!$A86)-LEN(V$2),FIND("■",Mail!$A86,FIND(V$2,Mail!$A86)+LEN(V$2))-FIND(V$2,Mail!$A86)-LEN(V$2)-1)))))</f>
        <v/>
      </c>
      <c r="W88" t="str">
        <f>TRIM(CLEAN(IF(ISERROR(FIND(W$2,Mail!$A86)),"",MID(Mail!$A86,FIND(W$2,Mail!$A86)+LEN(W$2)+1,IF(ISERROR(FIND("■",Mail!$A86,FIND(W$2,Mail!$A86)+LEN(W$2))-FIND(W$2,Mail!$A86)-LEN(W$2)),LEN(Mail!$A86)-60-FIND(W$2,Mail!$A86)-LEN(W$2),FIND("■",Mail!$A86,FIND(W$2,Mail!$A86)+LEN(W$2))-FIND(W$2,Mail!$A86)-LEN(W$2)-1)))))</f>
        <v/>
      </c>
      <c r="X88" t="str">
        <f>TRIM(IF(ISERROR(FIND(X$2,Mail!$A86)),"",MID(Mail!$A86,FIND(X$2,Mail!$A86)+LEN(X$2)+1,IF(ISERROR(FIND("■",Mail!$A86,FIND(X$2,Mail!$A86)+LEN(X$2))-FIND(X$2,Mail!$A86)-LEN(X$2)),LEN(Mail!$A86)-60-FIND(X$2,Mail!$A86)-LEN(X$2),FIND("■",Mail!$A86,FIND(X$2,Mail!$A86)+LEN(X$2))-FIND(X$2,Mail!$A86)-LEN(X$2)-1))))</f>
        <v/>
      </c>
      <c r="Y88" t="str">
        <f>TRIM(CLEAN(IF(ISERROR(FIND(Y$2,Mail!$A86)),"",MID(Mail!$A86,FIND(Y$2,Mail!$A86)+LEN(Y$2)+1,IF(ISERROR(FIND("■",Mail!$A86,FIND(Y$2,Mail!$A86)+LEN(Y$2))-FIND(Y$2,Mail!$A86)-LEN(Y$2)),LEN(Mail!$A86)-60-FIND(Y$2,Mail!$A86)-LEN(Y$2),FIND("■",Mail!$A86,FIND(Y$2,Mail!$A86)+LEN(Y$2))-FIND(Y$2,Mail!$A86)-LEN(Y$2)-1)))))</f>
        <v/>
      </c>
      <c r="Z88" t="str">
        <f>TRIM(CLEAN(IF(ISERROR(FIND(Z$2,Mail!$A86)),"",MID(Mail!$A86,FIND(Z$2,Mail!$A86)+LEN(Z$2)+1,IF(ISERROR(FIND("■",Mail!$A86,FIND(Z$2,Mail!$A86)+LEN(Z$2))-FIND(Z$2,Mail!$A86)-LEN(Z$2)),LEN(Mail!$A86)-60-FIND(Z$2,Mail!$A86)-LEN(Z$2),FIND("■",Mail!$A86,FIND(Z$2,Mail!$A86)+LEN(Z$2))-FIND(Z$2,Mail!$A86)-LEN(Z$2)-1)))))</f>
        <v/>
      </c>
      <c r="AA88" t="str">
        <f>TRIM(CLEAN(IF(ISERROR(FIND(AA$2,Mail!$A86)),"",MID(Mail!$A86,FIND(AA$2,Mail!$A86)+LEN(AA$2)+1,IF(ISERROR(FIND("■",Mail!$A86,FIND(AA$2,Mail!$A86)+LEN(AA$2))-FIND(AA$2,Mail!$A86)-LEN(AA$2)),LEN(Mail!$A86)-60-FIND(AA$2,Mail!$A86)-LEN(AA$2),FIND("■",Mail!$A86,FIND(AA$2,Mail!$A86)+LEN(AA$2))-FIND(AA$2,Mail!$A86)-LEN(AA$2)-1)))))</f>
        <v/>
      </c>
      <c r="AB88" t="str">
        <f>TRIM(CLEAN(IF(ISERROR(FIND(AB$2,Mail!$A86)),"",MID(Mail!$A86,FIND(AB$2,Mail!$A86)+LEN(AB$2)+1,IF(ISERROR(FIND("■",Mail!$A86,FIND(AB$2,Mail!$A86)+LEN(AB$2))-FIND(AB$2,Mail!$A86)-LEN(AB$2)),LEN(Mail!$A86)-60-FIND(AB$2,Mail!$A86)-LEN(AB$2),FIND("■",Mail!$A86,FIND(AB$2,Mail!$A86)+LEN(AB$2))-FIND(AB$2,Mail!$A86)-LEN(AB$2)-1)))))</f>
        <v/>
      </c>
      <c r="AC88" s="8" t="str">
        <f>TRIM(CLEAN(IF(ISERROR(FIND(AC$2,Mail!$A86)),"",MID(Mail!$A86,FIND(AC$2,Mail!$A86)+LEN(AC$2)+1,IF(ISERROR(FIND("■",Mail!$A86,FIND(AC$2,Mail!$A86)+LEN(AC$2))-FIND(AC$2,Mail!$A86)-LEN(AC$2)),LEN(Mail!$A86)-60-FIND(AC$2,Mail!$A86)-LEN(AC$2),FIND("■",Mail!$A86,FIND(AC$2,Mail!$A86)+LEN(AC$2))-FIND(AC$2,Mail!$A86)-LEN(AC$2)-1)))))</f>
        <v/>
      </c>
      <c r="AD88" t="str">
        <f>TRIM(CLEAN(IF(ISERROR(FIND(AD$2,Mail!$A86)),"",MID(Mail!$A86,FIND(AD$2,Mail!$A86)+LEN(AD$2)+1,IF(ISERROR(FIND("■",Mail!$A86,FIND(AD$2,Mail!$A86)+LEN(AD$2))-FIND(AD$2,Mail!$A86)-LEN(AD$2)),LEN(Mail!$A86)-60-FIND(AD$2,Mail!$A86)-LEN(AD$2),FIND("■",Mail!$A86,FIND(AD$2,Mail!$A86)+LEN(AD$2))-FIND(AD$2,Mail!$A86)-LEN(AD$2)-1)))))</f>
        <v/>
      </c>
      <c r="AE88" t="str">
        <f>TRIM(CLEAN(IF(ISERROR(FIND(AE$2,Mail!$A86)),"",MID(Mail!$A86,FIND(AE$2,Mail!$A86)+LEN(AE$2)+1,IF(ISERROR(FIND("■",Mail!$A86,FIND(AE$2,Mail!$A86)+LEN(AE$2))-FIND(AE$2,Mail!$A86)-LEN(AE$2)),LEN(Mail!$A86)-60-FIND(AE$2,Mail!$A86)-LEN(AE$2),FIND("■",Mail!$A86,FIND(AE$2,Mail!$A86)+LEN(AE$2))-FIND(AE$2,Mail!$A86)-LEN(AE$2)-1)))))</f>
        <v/>
      </c>
      <c r="AF88" t="str">
        <f>TRIM(CLEAN(IF(ISERROR(FIND(AF$2,Mail!$A86)),"",MID(Mail!$A86,FIND(AF$2,Mail!$A86)+LEN(AF$2)+1,IF(ISERROR(FIND("■",Mail!$A86,FIND(AF$2,Mail!$A86)+LEN(AF$2))-FIND(AF$2,Mail!$A86)-LEN(AF$2)),LEN(Mail!$A86)-60-FIND(AF$2,Mail!$A86)-LEN(AF$2),FIND("■",Mail!$A86,FIND(AF$2,Mail!$A86)+LEN(AF$2))-FIND(AF$2,Mail!$A86)-LEN(AF$2)-1)))))</f>
        <v/>
      </c>
      <c r="AG88" t="str">
        <f>TRIM(IF(ISERROR(FIND(AG$2,Mail!$A86)),"",MID(Mail!$A86,FIND(AG$2,Mail!$A86)+LEN(AG$2)+1,IF(ISERROR(FIND("■",Mail!$A86,FIND(AG$2,Mail!$A86)+LEN(AG$2))-FIND(AG$2,Mail!$A86)-LEN(AG$2)),LEN(Mail!$A86)-60-FIND(AG$2,Mail!$A86)-LEN(AG$2),FIND("■",Mail!$A86,FIND(AG$2,Mail!$A86)+LEN(AG$2))-FIND(AG$2,Mail!$A86)-LEN(AG$2)-1))))</f>
        <v/>
      </c>
      <c r="AH88" t="str">
        <f>TRIM(IF(ISERROR(FIND(AH$2,Mail!$A86)),"",MID(Mail!$A86,FIND(AH$2,Mail!$A86)+LEN(AH$2)+1,IF(ISERROR(FIND("■",Mail!$A86,FIND(AH$2,Mail!$A86)+LEN(AH$2))-FIND(AH$2,Mail!$A86)-LEN(AH$2)),LEN(Mail!$A86)-60-FIND(AH$2,Mail!$A86)-LEN(AH$2),FIND("■",Mail!$A86,FIND(AH$2,Mail!$A86)+LEN(AH$2))-FIND(AH$2,Mail!$A86)-LEN(AH$2)-1))))</f>
        <v/>
      </c>
      <c r="AI88" t="str">
        <f>TRIM(IF(ISERROR(FIND(AI$2,Mail!$A86)),"",MID(Mail!$A86,FIND(AI$2,Mail!$A86)+LEN(AI$2)+1,IF(ISERROR(FIND("■",Mail!$A86,FIND(AI$2,Mail!$A86)+LEN(AI$2))-FIND(AI$2,Mail!$A86)-LEN(AI$2)),LEN(Mail!$A86)-60-FIND(AI$2,Mail!$A86)-LEN(AI$2),FIND("■",Mail!$A86,FIND(AI$2,Mail!$A86)+LEN(AI$2))-FIND(AI$2,Mail!$A86)-LEN(AI$2)-1))))</f>
        <v/>
      </c>
    </row>
    <row r="89" spans="1:35" x14ac:dyDescent="0.15">
      <c r="A89" s="9" t="str">
        <f t="shared" si="6"/>
        <v/>
      </c>
      <c r="B89" s="8" t="str">
        <f>CLEAN(SUBSTITUTE(IF(ISERROR(FIND("yokohama",Mail!$A87)),"",MID(Mail!$A87,FIND("yokohama",Mail!$A87)+LEN("yokohama")+1,FIND("件目",Mail!$A87,FIND("yokohama",Mail!$A87))-(FIND("yokohama",Mail!$A87)+LEN("yokohama")+1)))," ",""))</f>
        <v/>
      </c>
      <c r="C89" s="2" t="str">
        <f t="shared" si="5"/>
        <v/>
      </c>
      <c r="D89" s="9" t="str">
        <f t="shared" si="7"/>
        <v/>
      </c>
      <c r="E89" s="8" t="str">
        <f t="shared" si="8"/>
        <v/>
      </c>
      <c r="F89" t="str">
        <f>TRIM(CLEAN(IF(ISERROR(FIND(F$2,Mail!$A87)),"",MID(Mail!$A87,FIND(F$2,Mail!$A87)+LEN(F$2)+1,IF(ISERROR(FIND("■",Mail!$A87,FIND(F$2,Mail!$A87)+LEN(F$2))-FIND(F$2,Mail!$A87)-LEN(F$2)),LEN(Mail!$A87)-60-FIND(F$2,Mail!$A87)-LEN(F$2),FIND("■",Mail!$A87,FIND(F$2,Mail!$A87)+LEN(F$2))-FIND(F$2,Mail!$A87)-LEN(F$2)-1)))))</f>
        <v/>
      </c>
      <c r="G89" t="str">
        <f>TRIM(CLEAN(IF(ISERROR(FIND(G$2,Mail!$A87)),"",MID(Mail!$A87,FIND(G$2,Mail!$A87)+LEN(G$2)+1,IF(ISERROR(FIND("■",Mail!$A87,FIND(G$2,Mail!$A87)+LEN(G$2))-FIND(G$2,Mail!$A87)-LEN(G$2)),LEN(Mail!$A87)-60-FIND(G$2,Mail!$A87)-LEN(G$2),FIND("■",Mail!$A87,FIND(G$2,Mail!$A87)+LEN(G$2))-FIND(G$2,Mail!$A87)-LEN(G$2)-1)))))</f>
        <v/>
      </c>
      <c r="H89" s="8" t="str">
        <f>TRIM(CLEAN(IF(ISERROR(FIND(H$2,Mail!$A87)),"",MID(Mail!$A87,FIND(H$2,Mail!$A87)+LEN(H$2)+1,IF(ISERROR(FIND("■",Mail!$A87,FIND(H$2,Mail!$A87)+LEN(H$2))-FIND(H$2,Mail!$A87)-LEN(H$2)),LEN(Mail!$A87)-60-FIND(H$2,Mail!$A87)-LEN(H$2),FIND("■",Mail!$A87,FIND(H$2,Mail!$A87)+LEN(H$2))-FIND(H$2,Mail!$A87)-LEN(H$2)-1)))))</f>
        <v/>
      </c>
      <c r="I89" t="str">
        <f>TRIM(CLEAN(IF(ISERROR(FIND(I$2,Mail!$A87)),"",MID(Mail!$A87,FIND(I$2,Mail!$A87)+LEN(I$2)+1,IF(ISERROR(FIND("■",Mail!$A87,FIND(I$2,Mail!$A87)+LEN(I$2))-FIND(I$2,Mail!$A87)-LEN(I$2)),LEN(Mail!$A87)-60-FIND(I$2,Mail!$A87)-LEN(I$2),FIND("■",Mail!$A87,FIND(I$2,Mail!$A87)+LEN(I$2))-FIND(I$2,Mail!$A87)-LEN(I$2)-1)))))</f>
        <v/>
      </c>
      <c r="J89" t="str">
        <f>TRIM(IF(ISERROR(FIND(J$2,Mail!$A87)),"",MID(Mail!$A87,FIND(J$2,Mail!$A87)+LEN(J$2)+1,IF(ISERROR(FIND("■",Mail!$A87,FIND(J$2,Mail!$A87)+LEN(J$2))-FIND(J$2,Mail!$A87)-LEN(J$2)),LEN(Mail!$A87)-60-FIND(J$2,Mail!$A87)-LEN(J$2),FIND("■",Mail!$A87,FIND(J$2,Mail!$A87)+LEN(J$2))-FIND(J$2,Mail!$A87)-LEN(J$2)-1))))</f>
        <v/>
      </c>
      <c r="K89" t="str">
        <f>TRIM(IF(ISERROR(FIND(K$2,Mail!$A87)),"",MID(Mail!$A87,FIND(K$2,Mail!$A87)+LEN(K$2)+1,IF(ISERROR(FIND("■",Mail!$A87,FIND(K$2,Mail!$A87)+LEN(K$2))-FIND(K$2,Mail!$A87)-LEN(K$2)),LEN(Mail!$A87)-60-FIND(K$2,Mail!$A87)-LEN(K$2),FIND("■",Mail!$A87,FIND(K$2,Mail!$A87)+LEN(K$2))-FIND(K$2,Mail!$A87)-LEN(K$2)-1))))</f>
        <v/>
      </c>
      <c r="L89" t="str">
        <f>TRIM(IF(ISERROR(FIND(L$2,Mail!$A87)),"",MID(Mail!$A87,FIND(L$2,Mail!$A87)+LEN(L$2)+1,IF(ISERROR(FIND("■",Mail!$A87,FIND(L$2,Mail!$A87)+LEN(L$2))-FIND(L$2,Mail!$A87)-LEN(L$2)),LEN(Mail!$A87)-60-FIND(L$2,Mail!$A87)-LEN(L$2),FIND("■",Mail!$A87,FIND(L$2,Mail!$A87)+LEN(L$2))-FIND(L$2,Mail!$A87)-LEN(L$2)-1))))</f>
        <v/>
      </c>
      <c r="M89" t="str">
        <f>TRIM(CLEAN(IF(ISERROR(FIND(M$2,Mail!$A87)),"",MID(Mail!$A87,FIND(M$2,Mail!$A87)+LEN(M$2)+1,IF(ISERROR(FIND("■",Mail!$A87,FIND(M$2,Mail!$A87)+LEN(M$2))-FIND(M$2,Mail!$A87)-LEN(M$2)),LEN(Mail!$A87)-60-FIND(M$2,Mail!$A87)-LEN(M$2),FIND("■",Mail!$A87,FIND(M$2,Mail!$A87)+LEN(M$2))-FIND(M$2,Mail!$A87)-LEN(M$2)-1)))))</f>
        <v/>
      </c>
      <c r="N89" t="str">
        <f>TRIM(CLEAN(IF(ISERROR(FIND(N$2,Mail!$A87)),"",MID(Mail!$A87,FIND(N$2,Mail!$A87)+LEN(N$2)+1,IF(ISERROR(FIND("■",Mail!$A87,FIND(N$2,Mail!$A87)+LEN(N$2))-FIND(N$2,Mail!$A87)-LEN(N$2)),LEN(Mail!$A87)-60-FIND(N$2,Mail!$A87)-LEN(N$2),FIND("■",Mail!$A87,FIND(N$2,Mail!$A87)+LEN(N$2))-FIND(N$2,Mail!$A87)-LEN(N$2)-1)))))</f>
        <v/>
      </c>
      <c r="O89" t="str">
        <f>TRIM(CLEAN(IF(ISERROR(FIND(O$2,Mail!$A87)),"",MID(Mail!$A87,FIND(O$2,Mail!$A87)+LEN(O$2)+1,IF(ISERROR(FIND("■",Mail!$A87,FIND(O$2,Mail!$A87)+LEN(O$2))-FIND(O$2,Mail!$A87)-LEN(O$2)),LEN(Mail!$A87)-60-FIND(O$2,Mail!$A87)-LEN(O$2),FIND("■",Mail!$A87,FIND(O$2,Mail!$A87)+LEN(O$2))-FIND(O$2,Mail!$A87)-LEN(O$2)-1)))))</f>
        <v/>
      </c>
      <c r="P89" t="str">
        <f>TRIM(CLEAN(IF(ISERROR(FIND(P$2,Mail!$A87)),"",MID(Mail!$A87,FIND(P$2,Mail!$A87)+LEN(P$2)+1,IF(ISERROR(FIND("■",Mail!$A87,FIND(P$2,Mail!$A87)+LEN(P$2))-FIND(P$2,Mail!$A87)-LEN(P$2)),LEN(Mail!$A87)-60-FIND(P$2,Mail!$A87)-LEN(P$2),FIND("■",Mail!$A87,FIND(P$2,Mail!$A87)+LEN(P$2))-FIND(P$2,Mail!$A87)-LEN(P$2)-1)))))</f>
        <v/>
      </c>
      <c r="Q89" t="str">
        <f>TRIM(CLEAN(IF(ISERROR(FIND(Q$2,Mail!$A87)),"",MID(Mail!$A87,FIND(Q$2,Mail!$A87)+LEN(Q$2)+1,IF(ISERROR(FIND("■",Mail!$A87,FIND(Q$2,Mail!$A87)+LEN(Q$2))-FIND(Q$2,Mail!$A87)-LEN(Q$2)),LEN(Mail!$A87)-60-FIND(Q$2,Mail!$A87)-LEN(Q$2),FIND("■",Mail!$A87,FIND(Q$2,Mail!$A87)+LEN(Q$2))-FIND(Q$2,Mail!$A87)-LEN(Q$2)-1)))))</f>
        <v/>
      </c>
      <c r="R89" s="8" t="str">
        <f>TRIM(CLEAN(IF(ISERROR(FIND(R$2,Mail!$A87)),"",MID(Mail!$A87,FIND(R$2,Mail!$A87)+LEN(R$2)+1,IF(ISERROR(FIND("■",Mail!$A87,FIND(R$2,Mail!$A87)+LEN(R$2))-FIND(R$2,Mail!$A87)-LEN(R$2)),LEN(Mail!$A87)-60-FIND(R$2,Mail!$A87)-LEN(R$2),FIND("■",Mail!$A87,FIND(R$2,Mail!$A87)+LEN(R$2))-FIND(R$2,Mail!$A87)-LEN(R$2)-1)))))</f>
        <v/>
      </c>
      <c r="S89" t="str">
        <f>TRIM(CLEAN(IF(ISERROR(FIND(S$2,Mail!$A87)),"",MID(Mail!$A87,FIND(S$2,Mail!$A87)+LEN(S$2)+1,IF(ISERROR(FIND("■",Mail!$A87,FIND(S$2,Mail!$A87)+LEN(S$2))-FIND(S$2,Mail!$A87)-LEN(S$2)),LEN(Mail!$A87)-60-FIND(S$2,Mail!$A87)-LEN(S$2),FIND("■",Mail!$A87,FIND(S$2,Mail!$A87)+LEN(S$2))-FIND(S$2,Mail!$A87)-LEN(S$2)-1)))))</f>
        <v/>
      </c>
      <c r="T89" t="str">
        <f>TRIM(CLEAN(IF(ISERROR(FIND(T$2,Mail!$A87)),"",MID(Mail!$A87,FIND(T$2,Mail!$A87)+LEN(T$2)+1,IF(ISERROR(FIND("■",Mail!$A87,FIND(T$2,Mail!$A87)+LEN(T$2))-FIND(T$2,Mail!$A87)-LEN(T$2)),LEN(Mail!$A87)-60-FIND(T$2,Mail!$A87)-LEN(T$2),FIND("■",Mail!$A87,FIND(T$2,Mail!$A87)+LEN(T$2))-FIND(T$2,Mail!$A87)-LEN(T$2)-1)))))</f>
        <v/>
      </c>
      <c r="U89" t="str">
        <f>TRIM(CLEAN(IF(ISERROR(FIND(U$2,Mail!$A87)),"",MID(Mail!$A87,FIND(U$2,Mail!$A87)+LEN(U$2)+1,IF(ISERROR(FIND("■",Mail!$A87,FIND(U$2,Mail!$A87)+LEN(U$2))-FIND(U$2,Mail!$A87)-LEN(U$2)),LEN(Mail!$A87)-60-FIND(U$2,Mail!$A87)-LEN(U$2),FIND("■",Mail!$A87,FIND(U$2,Mail!$A87)+LEN(U$2))-FIND(U$2,Mail!$A87)-LEN(U$2)-1)))))</f>
        <v/>
      </c>
      <c r="V89" t="str">
        <f>TRIM(CLEAN(IF(ISERROR(FIND(V$2,Mail!$A87)),"",MID(Mail!$A87,FIND(V$2,Mail!$A87)+LEN(V$2)+1,IF(ISERROR(FIND("■",Mail!$A87,FIND(V$2,Mail!$A87)+LEN(V$2))-FIND(V$2,Mail!$A87)-LEN(V$2)),LEN(Mail!$A87)-60-FIND(V$2,Mail!$A87)-LEN(V$2),FIND("■",Mail!$A87,FIND(V$2,Mail!$A87)+LEN(V$2))-FIND(V$2,Mail!$A87)-LEN(V$2)-1)))))</f>
        <v/>
      </c>
      <c r="W89" t="str">
        <f>TRIM(CLEAN(IF(ISERROR(FIND(W$2,Mail!$A87)),"",MID(Mail!$A87,FIND(W$2,Mail!$A87)+LEN(W$2)+1,IF(ISERROR(FIND("■",Mail!$A87,FIND(W$2,Mail!$A87)+LEN(W$2))-FIND(W$2,Mail!$A87)-LEN(W$2)),LEN(Mail!$A87)-60-FIND(W$2,Mail!$A87)-LEN(W$2),FIND("■",Mail!$A87,FIND(W$2,Mail!$A87)+LEN(W$2))-FIND(W$2,Mail!$A87)-LEN(W$2)-1)))))</f>
        <v/>
      </c>
      <c r="X89" t="str">
        <f>TRIM(IF(ISERROR(FIND(X$2,Mail!$A87)),"",MID(Mail!$A87,FIND(X$2,Mail!$A87)+LEN(X$2)+1,IF(ISERROR(FIND("■",Mail!$A87,FIND(X$2,Mail!$A87)+LEN(X$2))-FIND(X$2,Mail!$A87)-LEN(X$2)),LEN(Mail!$A87)-60-FIND(X$2,Mail!$A87)-LEN(X$2),FIND("■",Mail!$A87,FIND(X$2,Mail!$A87)+LEN(X$2))-FIND(X$2,Mail!$A87)-LEN(X$2)-1))))</f>
        <v/>
      </c>
      <c r="Y89" t="str">
        <f>TRIM(CLEAN(IF(ISERROR(FIND(Y$2,Mail!$A87)),"",MID(Mail!$A87,FIND(Y$2,Mail!$A87)+LEN(Y$2)+1,IF(ISERROR(FIND("■",Mail!$A87,FIND(Y$2,Mail!$A87)+LEN(Y$2))-FIND(Y$2,Mail!$A87)-LEN(Y$2)),LEN(Mail!$A87)-60-FIND(Y$2,Mail!$A87)-LEN(Y$2),FIND("■",Mail!$A87,FIND(Y$2,Mail!$A87)+LEN(Y$2))-FIND(Y$2,Mail!$A87)-LEN(Y$2)-1)))))</f>
        <v/>
      </c>
      <c r="Z89" t="str">
        <f>TRIM(CLEAN(IF(ISERROR(FIND(Z$2,Mail!$A87)),"",MID(Mail!$A87,FIND(Z$2,Mail!$A87)+LEN(Z$2)+1,IF(ISERROR(FIND("■",Mail!$A87,FIND(Z$2,Mail!$A87)+LEN(Z$2))-FIND(Z$2,Mail!$A87)-LEN(Z$2)),LEN(Mail!$A87)-60-FIND(Z$2,Mail!$A87)-LEN(Z$2),FIND("■",Mail!$A87,FIND(Z$2,Mail!$A87)+LEN(Z$2))-FIND(Z$2,Mail!$A87)-LEN(Z$2)-1)))))</f>
        <v/>
      </c>
      <c r="AA89" t="str">
        <f>TRIM(CLEAN(IF(ISERROR(FIND(AA$2,Mail!$A87)),"",MID(Mail!$A87,FIND(AA$2,Mail!$A87)+LEN(AA$2)+1,IF(ISERROR(FIND("■",Mail!$A87,FIND(AA$2,Mail!$A87)+LEN(AA$2))-FIND(AA$2,Mail!$A87)-LEN(AA$2)),LEN(Mail!$A87)-60-FIND(AA$2,Mail!$A87)-LEN(AA$2),FIND("■",Mail!$A87,FIND(AA$2,Mail!$A87)+LEN(AA$2))-FIND(AA$2,Mail!$A87)-LEN(AA$2)-1)))))</f>
        <v/>
      </c>
      <c r="AB89" t="str">
        <f>TRIM(CLEAN(IF(ISERROR(FIND(AB$2,Mail!$A87)),"",MID(Mail!$A87,FIND(AB$2,Mail!$A87)+LEN(AB$2)+1,IF(ISERROR(FIND("■",Mail!$A87,FIND(AB$2,Mail!$A87)+LEN(AB$2))-FIND(AB$2,Mail!$A87)-LEN(AB$2)),LEN(Mail!$A87)-60-FIND(AB$2,Mail!$A87)-LEN(AB$2),FIND("■",Mail!$A87,FIND(AB$2,Mail!$A87)+LEN(AB$2))-FIND(AB$2,Mail!$A87)-LEN(AB$2)-1)))))</f>
        <v/>
      </c>
      <c r="AC89" s="8" t="str">
        <f>TRIM(CLEAN(IF(ISERROR(FIND(AC$2,Mail!$A87)),"",MID(Mail!$A87,FIND(AC$2,Mail!$A87)+LEN(AC$2)+1,IF(ISERROR(FIND("■",Mail!$A87,FIND(AC$2,Mail!$A87)+LEN(AC$2))-FIND(AC$2,Mail!$A87)-LEN(AC$2)),LEN(Mail!$A87)-60-FIND(AC$2,Mail!$A87)-LEN(AC$2),FIND("■",Mail!$A87,FIND(AC$2,Mail!$A87)+LEN(AC$2))-FIND(AC$2,Mail!$A87)-LEN(AC$2)-1)))))</f>
        <v/>
      </c>
      <c r="AD89" t="str">
        <f>TRIM(CLEAN(IF(ISERROR(FIND(AD$2,Mail!$A87)),"",MID(Mail!$A87,FIND(AD$2,Mail!$A87)+LEN(AD$2)+1,IF(ISERROR(FIND("■",Mail!$A87,FIND(AD$2,Mail!$A87)+LEN(AD$2))-FIND(AD$2,Mail!$A87)-LEN(AD$2)),LEN(Mail!$A87)-60-FIND(AD$2,Mail!$A87)-LEN(AD$2),FIND("■",Mail!$A87,FIND(AD$2,Mail!$A87)+LEN(AD$2))-FIND(AD$2,Mail!$A87)-LEN(AD$2)-1)))))</f>
        <v/>
      </c>
      <c r="AE89" t="str">
        <f>TRIM(CLEAN(IF(ISERROR(FIND(AE$2,Mail!$A87)),"",MID(Mail!$A87,FIND(AE$2,Mail!$A87)+LEN(AE$2)+1,IF(ISERROR(FIND("■",Mail!$A87,FIND(AE$2,Mail!$A87)+LEN(AE$2))-FIND(AE$2,Mail!$A87)-LEN(AE$2)),LEN(Mail!$A87)-60-FIND(AE$2,Mail!$A87)-LEN(AE$2),FIND("■",Mail!$A87,FIND(AE$2,Mail!$A87)+LEN(AE$2))-FIND(AE$2,Mail!$A87)-LEN(AE$2)-1)))))</f>
        <v/>
      </c>
      <c r="AF89" t="str">
        <f>TRIM(CLEAN(IF(ISERROR(FIND(AF$2,Mail!$A87)),"",MID(Mail!$A87,FIND(AF$2,Mail!$A87)+LEN(AF$2)+1,IF(ISERROR(FIND("■",Mail!$A87,FIND(AF$2,Mail!$A87)+LEN(AF$2))-FIND(AF$2,Mail!$A87)-LEN(AF$2)),LEN(Mail!$A87)-60-FIND(AF$2,Mail!$A87)-LEN(AF$2),FIND("■",Mail!$A87,FIND(AF$2,Mail!$A87)+LEN(AF$2))-FIND(AF$2,Mail!$A87)-LEN(AF$2)-1)))))</f>
        <v/>
      </c>
      <c r="AG89" t="str">
        <f>TRIM(IF(ISERROR(FIND(AG$2,Mail!$A87)),"",MID(Mail!$A87,FIND(AG$2,Mail!$A87)+LEN(AG$2)+1,IF(ISERROR(FIND("■",Mail!$A87,FIND(AG$2,Mail!$A87)+LEN(AG$2))-FIND(AG$2,Mail!$A87)-LEN(AG$2)),LEN(Mail!$A87)-60-FIND(AG$2,Mail!$A87)-LEN(AG$2),FIND("■",Mail!$A87,FIND(AG$2,Mail!$A87)+LEN(AG$2))-FIND(AG$2,Mail!$A87)-LEN(AG$2)-1))))</f>
        <v/>
      </c>
      <c r="AH89" t="str">
        <f>TRIM(IF(ISERROR(FIND(AH$2,Mail!$A87)),"",MID(Mail!$A87,FIND(AH$2,Mail!$A87)+LEN(AH$2)+1,IF(ISERROR(FIND("■",Mail!$A87,FIND(AH$2,Mail!$A87)+LEN(AH$2))-FIND(AH$2,Mail!$A87)-LEN(AH$2)),LEN(Mail!$A87)-60-FIND(AH$2,Mail!$A87)-LEN(AH$2),FIND("■",Mail!$A87,FIND(AH$2,Mail!$A87)+LEN(AH$2))-FIND(AH$2,Mail!$A87)-LEN(AH$2)-1))))</f>
        <v/>
      </c>
      <c r="AI89" t="str">
        <f>TRIM(IF(ISERROR(FIND(AI$2,Mail!$A87)),"",MID(Mail!$A87,FIND(AI$2,Mail!$A87)+LEN(AI$2)+1,IF(ISERROR(FIND("■",Mail!$A87,FIND(AI$2,Mail!$A87)+LEN(AI$2))-FIND(AI$2,Mail!$A87)-LEN(AI$2)),LEN(Mail!$A87)-60-FIND(AI$2,Mail!$A87)-LEN(AI$2),FIND("■",Mail!$A87,FIND(AI$2,Mail!$A87)+LEN(AI$2))-FIND(AI$2,Mail!$A87)-LEN(AI$2)-1))))</f>
        <v/>
      </c>
    </row>
    <row r="90" spans="1:35" x14ac:dyDescent="0.15">
      <c r="A90" s="9" t="str">
        <f t="shared" si="6"/>
        <v/>
      </c>
      <c r="B90" s="8" t="str">
        <f>CLEAN(SUBSTITUTE(IF(ISERROR(FIND("yokohama",Mail!$A88)),"",MID(Mail!$A88,FIND("yokohama",Mail!$A88)+LEN("yokohama")+1,FIND("件目",Mail!$A88,FIND("yokohama",Mail!$A88))-(FIND("yokohama",Mail!$A88)+LEN("yokohama")+1)))," ",""))</f>
        <v/>
      </c>
      <c r="C90" s="2" t="str">
        <f t="shared" si="5"/>
        <v/>
      </c>
      <c r="D90" s="9" t="str">
        <f t="shared" si="7"/>
        <v/>
      </c>
      <c r="E90" s="8" t="str">
        <f t="shared" si="8"/>
        <v/>
      </c>
      <c r="F90" t="str">
        <f>TRIM(CLEAN(IF(ISERROR(FIND(F$2,Mail!$A88)),"",MID(Mail!$A88,FIND(F$2,Mail!$A88)+LEN(F$2)+1,IF(ISERROR(FIND("■",Mail!$A88,FIND(F$2,Mail!$A88)+LEN(F$2))-FIND(F$2,Mail!$A88)-LEN(F$2)),LEN(Mail!$A88)-60-FIND(F$2,Mail!$A88)-LEN(F$2),FIND("■",Mail!$A88,FIND(F$2,Mail!$A88)+LEN(F$2))-FIND(F$2,Mail!$A88)-LEN(F$2)-1)))))</f>
        <v/>
      </c>
      <c r="G90" t="str">
        <f>TRIM(CLEAN(IF(ISERROR(FIND(G$2,Mail!$A88)),"",MID(Mail!$A88,FIND(G$2,Mail!$A88)+LEN(G$2)+1,IF(ISERROR(FIND("■",Mail!$A88,FIND(G$2,Mail!$A88)+LEN(G$2))-FIND(G$2,Mail!$A88)-LEN(G$2)),LEN(Mail!$A88)-60-FIND(G$2,Mail!$A88)-LEN(G$2),FIND("■",Mail!$A88,FIND(G$2,Mail!$A88)+LEN(G$2))-FIND(G$2,Mail!$A88)-LEN(G$2)-1)))))</f>
        <v/>
      </c>
      <c r="H90" s="8" t="str">
        <f>TRIM(CLEAN(IF(ISERROR(FIND(H$2,Mail!$A88)),"",MID(Mail!$A88,FIND(H$2,Mail!$A88)+LEN(H$2)+1,IF(ISERROR(FIND("■",Mail!$A88,FIND(H$2,Mail!$A88)+LEN(H$2))-FIND(H$2,Mail!$A88)-LEN(H$2)),LEN(Mail!$A88)-60-FIND(H$2,Mail!$A88)-LEN(H$2),FIND("■",Mail!$A88,FIND(H$2,Mail!$A88)+LEN(H$2))-FIND(H$2,Mail!$A88)-LEN(H$2)-1)))))</f>
        <v/>
      </c>
      <c r="I90" t="str">
        <f>TRIM(CLEAN(IF(ISERROR(FIND(I$2,Mail!$A88)),"",MID(Mail!$A88,FIND(I$2,Mail!$A88)+LEN(I$2)+1,IF(ISERROR(FIND("■",Mail!$A88,FIND(I$2,Mail!$A88)+LEN(I$2))-FIND(I$2,Mail!$A88)-LEN(I$2)),LEN(Mail!$A88)-60-FIND(I$2,Mail!$A88)-LEN(I$2),FIND("■",Mail!$A88,FIND(I$2,Mail!$A88)+LEN(I$2))-FIND(I$2,Mail!$A88)-LEN(I$2)-1)))))</f>
        <v/>
      </c>
      <c r="J90" t="str">
        <f>TRIM(IF(ISERROR(FIND(J$2,Mail!$A88)),"",MID(Mail!$A88,FIND(J$2,Mail!$A88)+LEN(J$2)+1,IF(ISERROR(FIND("■",Mail!$A88,FIND(J$2,Mail!$A88)+LEN(J$2))-FIND(J$2,Mail!$A88)-LEN(J$2)),LEN(Mail!$A88)-60-FIND(J$2,Mail!$A88)-LEN(J$2),FIND("■",Mail!$A88,FIND(J$2,Mail!$A88)+LEN(J$2))-FIND(J$2,Mail!$A88)-LEN(J$2)-1))))</f>
        <v/>
      </c>
      <c r="K90" t="str">
        <f>TRIM(IF(ISERROR(FIND(K$2,Mail!$A88)),"",MID(Mail!$A88,FIND(K$2,Mail!$A88)+LEN(K$2)+1,IF(ISERROR(FIND("■",Mail!$A88,FIND(K$2,Mail!$A88)+LEN(K$2))-FIND(K$2,Mail!$A88)-LEN(K$2)),LEN(Mail!$A88)-60-FIND(K$2,Mail!$A88)-LEN(K$2),FIND("■",Mail!$A88,FIND(K$2,Mail!$A88)+LEN(K$2))-FIND(K$2,Mail!$A88)-LEN(K$2)-1))))</f>
        <v/>
      </c>
      <c r="L90" t="str">
        <f>TRIM(IF(ISERROR(FIND(L$2,Mail!$A88)),"",MID(Mail!$A88,FIND(L$2,Mail!$A88)+LEN(L$2)+1,IF(ISERROR(FIND("■",Mail!$A88,FIND(L$2,Mail!$A88)+LEN(L$2))-FIND(L$2,Mail!$A88)-LEN(L$2)),LEN(Mail!$A88)-60-FIND(L$2,Mail!$A88)-LEN(L$2),FIND("■",Mail!$A88,FIND(L$2,Mail!$A88)+LEN(L$2))-FIND(L$2,Mail!$A88)-LEN(L$2)-1))))</f>
        <v/>
      </c>
      <c r="M90" t="str">
        <f>TRIM(CLEAN(IF(ISERROR(FIND(M$2,Mail!$A88)),"",MID(Mail!$A88,FIND(M$2,Mail!$A88)+LEN(M$2)+1,IF(ISERROR(FIND("■",Mail!$A88,FIND(M$2,Mail!$A88)+LEN(M$2))-FIND(M$2,Mail!$A88)-LEN(M$2)),LEN(Mail!$A88)-60-FIND(M$2,Mail!$A88)-LEN(M$2),FIND("■",Mail!$A88,FIND(M$2,Mail!$A88)+LEN(M$2))-FIND(M$2,Mail!$A88)-LEN(M$2)-1)))))</f>
        <v/>
      </c>
      <c r="N90" t="str">
        <f>TRIM(CLEAN(IF(ISERROR(FIND(N$2,Mail!$A88)),"",MID(Mail!$A88,FIND(N$2,Mail!$A88)+LEN(N$2)+1,IF(ISERROR(FIND("■",Mail!$A88,FIND(N$2,Mail!$A88)+LEN(N$2))-FIND(N$2,Mail!$A88)-LEN(N$2)),LEN(Mail!$A88)-60-FIND(N$2,Mail!$A88)-LEN(N$2),FIND("■",Mail!$A88,FIND(N$2,Mail!$A88)+LEN(N$2))-FIND(N$2,Mail!$A88)-LEN(N$2)-1)))))</f>
        <v/>
      </c>
      <c r="O90" t="str">
        <f>TRIM(CLEAN(IF(ISERROR(FIND(O$2,Mail!$A88)),"",MID(Mail!$A88,FIND(O$2,Mail!$A88)+LEN(O$2)+1,IF(ISERROR(FIND("■",Mail!$A88,FIND(O$2,Mail!$A88)+LEN(O$2))-FIND(O$2,Mail!$A88)-LEN(O$2)),LEN(Mail!$A88)-60-FIND(O$2,Mail!$A88)-LEN(O$2),FIND("■",Mail!$A88,FIND(O$2,Mail!$A88)+LEN(O$2))-FIND(O$2,Mail!$A88)-LEN(O$2)-1)))))</f>
        <v/>
      </c>
      <c r="P90" t="str">
        <f>TRIM(CLEAN(IF(ISERROR(FIND(P$2,Mail!$A88)),"",MID(Mail!$A88,FIND(P$2,Mail!$A88)+LEN(P$2)+1,IF(ISERROR(FIND("■",Mail!$A88,FIND(P$2,Mail!$A88)+LEN(P$2))-FIND(P$2,Mail!$A88)-LEN(P$2)),LEN(Mail!$A88)-60-FIND(P$2,Mail!$A88)-LEN(P$2),FIND("■",Mail!$A88,FIND(P$2,Mail!$A88)+LEN(P$2))-FIND(P$2,Mail!$A88)-LEN(P$2)-1)))))</f>
        <v/>
      </c>
      <c r="Q90" t="str">
        <f>TRIM(CLEAN(IF(ISERROR(FIND(Q$2,Mail!$A88)),"",MID(Mail!$A88,FIND(Q$2,Mail!$A88)+LEN(Q$2)+1,IF(ISERROR(FIND("■",Mail!$A88,FIND(Q$2,Mail!$A88)+LEN(Q$2))-FIND(Q$2,Mail!$A88)-LEN(Q$2)),LEN(Mail!$A88)-60-FIND(Q$2,Mail!$A88)-LEN(Q$2),FIND("■",Mail!$A88,FIND(Q$2,Mail!$A88)+LEN(Q$2))-FIND(Q$2,Mail!$A88)-LEN(Q$2)-1)))))</f>
        <v/>
      </c>
      <c r="R90" s="8" t="str">
        <f>TRIM(CLEAN(IF(ISERROR(FIND(R$2,Mail!$A88)),"",MID(Mail!$A88,FIND(R$2,Mail!$A88)+LEN(R$2)+1,IF(ISERROR(FIND("■",Mail!$A88,FIND(R$2,Mail!$A88)+LEN(R$2))-FIND(R$2,Mail!$A88)-LEN(R$2)),LEN(Mail!$A88)-60-FIND(R$2,Mail!$A88)-LEN(R$2),FIND("■",Mail!$A88,FIND(R$2,Mail!$A88)+LEN(R$2))-FIND(R$2,Mail!$A88)-LEN(R$2)-1)))))</f>
        <v/>
      </c>
      <c r="S90" t="str">
        <f>TRIM(CLEAN(IF(ISERROR(FIND(S$2,Mail!$A88)),"",MID(Mail!$A88,FIND(S$2,Mail!$A88)+LEN(S$2)+1,IF(ISERROR(FIND("■",Mail!$A88,FIND(S$2,Mail!$A88)+LEN(S$2))-FIND(S$2,Mail!$A88)-LEN(S$2)),LEN(Mail!$A88)-60-FIND(S$2,Mail!$A88)-LEN(S$2),FIND("■",Mail!$A88,FIND(S$2,Mail!$A88)+LEN(S$2))-FIND(S$2,Mail!$A88)-LEN(S$2)-1)))))</f>
        <v/>
      </c>
      <c r="T90" t="str">
        <f>TRIM(CLEAN(IF(ISERROR(FIND(T$2,Mail!$A88)),"",MID(Mail!$A88,FIND(T$2,Mail!$A88)+LEN(T$2)+1,IF(ISERROR(FIND("■",Mail!$A88,FIND(T$2,Mail!$A88)+LEN(T$2))-FIND(T$2,Mail!$A88)-LEN(T$2)),LEN(Mail!$A88)-60-FIND(T$2,Mail!$A88)-LEN(T$2),FIND("■",Mail!$A88,FIND(T$2,Mail!$A88)+LEN(T$2))-FIND(T$2,Mail!$A88)-LEN(T$2)-1)))))</f>
        <v/>
      </c>
      <c r="U90" t="str">
        <f>TRIM(CLEAN(IF(ISERROR(FIND(U$2,Mail!$A88)),"",MID(Mail!$A88,FIND(U$2,Mail!$A88)+LEN(U$2)+1,IF(ISERROR(FIND("■",Mail!$A88,FIND(U$2,Mail!$A88)+LEN(U$2))-FIND(U$2,Mail!$A88)-LEN(U$2)),LEN(Mail!$A88)-60-FIND(U$2,Mail!$A88)-LEN(U$2),FIND("■",Mail!$A88,FIND(U$2,Mail!$A88)+LEN(U$2))-FIND(U$2,Mail!$A88)-LEN(U$2)-1)))))</f>
        <v/>
      </c>
      <c r="V90" t="str">
        <f>TRIM(CLEAN(IF(ISERROR(FIND(V$2,Mail!$A88)),"",MID(Mail!$A88,FIND(V$2,Mail!$A88)+LEN(V$2)+1,IF(ISERROR(FIND("■",Mail!$A88,FIND(V$2,Mail!$A88)+LEN(V$2))-FIND(V$2,Mail!$A88)-LEN(V$2)),LEN(Mail!$A88)-60-FIND(V$2,Mail!$A88)-LEN(V$2),FIND("■",Mail!$A88,FIND(V$2,Mail!$A88)+LEN(V$2))-FIND(V$2,Mail!$A88)-LEN(V$2)-1)))))</f>
        <v/>
      </c>
      <c r="W90" t="str">
        <f>TRIM(CLEAN(IF(ISERROR(FIND(W$2,Mail!$A88)),"",MID(Mail!$A88,FIND(W$2,Mail!$A88)+LEN(W$2)+1,IF(ISERROR(FIND("■",Mail!$A88,FIND(W$2,Mail!$A88)+LEN(W$2))-FIND(W$2,Mail!$A88)-LEN(W$2)),LEN(Mail!$A88)-60-FIND(W$2,Mail!$A88)-LEN(W$2),FIND("■",Mail!$A88,FIND(W$2,Mail!$A88)+LEN(W$2))-FIND(W$2,Mail!$A88)-LEN(W$2)-1)))))</f>
        <v/>
      </c>
      <c r="X90" t="str">
        <f>TRIM(IF(ISERROR(FIND(X$2,Mail!$A88)),"",MID(Mail!$A88,FIND(X$2,Mail!$A88)+LEN(X$2)+1,IF(ISERROR(FIND("■",Mail!$A88,FIND(X$2,Mail!$A88)+LEN(X$2))-FIND(X$2,Mail!$A88)-LEN(X$2)),LEN(Mail!$A88)-60-FIND(X$2,Mail!$A88)-LEN(X$2),FIND("■",Mail!$A88,FIND(X$2,Mail!$A88)+LEN(X$2))-FIND(X$2,Mail!$A88)-LEN(X$2)-1))))</f>
        <v/>
      </c>
      <c r="Y90" t="str">
        <f>TRIM(CLEAN(IF(ISERROR(FIND(Y$2,Mail!$A88)),"",MID(Mail!$A88,FIND(Y$2,Mail!$A88)+LEN(Y$2)+1,IF(ISERROR(FIND("■",Mail!$A88,FIND(Y$2,Mail!$A88)+LEN(Y$2))-FIND(Y$2,Mail!$A88)-LEN(Y$2)),LEN(Mail!$A88)-60-FIND(Y$2,Mail!$A88)-LEN(Y$2),FIND("■",Mail!$A88,FIND(Y$2,Mail!$A88)+LEN(Y$2))-FIND(Y$2,Mail!$A88)-LEN(Y$2)-1)))))</f>
        <v/>
      </c>
      <c r="Z90" t="str">
        <f>TRIM(CLEAN(IF(ISERROR(FIND(Z$2,Mail!$A88)),"",MID(Mail!$A88,FIND(Z$2,Mail!$A88)+LEN(Z$2)+1,IF(ISERROR(FIND("■",Mail!$A88,FIND(Z$2,Mail!$A88)+LEN(Z$2))-FIND(Z$2,Mail!$A88)-LEN(Z$2)),LEN(Mail!$A88)-60-FIND(Z$2,Mail!$A88)-LEN(Z$2),FIND("■",Mail!$A88,FIND(Z$2,Mail!$A88)+LEN(Z$2))-FIND(Z$2,Mail!$A88)-LEN(Z$2)-1)))))</f>
        <v/>
      </c>
      <c r="AA90" t="str">
        <f>TRIM(CLEAN(IF(ISERROR(FIND(AA$2,Mail!$A88)),"",MID(Mail!$A88,FIND(AA$2,Mail!$A88)+LEN(AA$2)+1,IF(ISERROR(FIND("■",Mail!$A88,FIND(AA$2,Mail!$A88)+LEN(AA$2))-FIND(AA$2,Mail!$A88)-LEN(AA$2)),LEN(Mail!$A88)-60-FIND(AA$2,Mail!$A88)-LEN(AA$2),FIND("■",Mail!$A88,FIND(AA$2,Mail!$A88)+LEN(AA$2))-FIND(AA$2,Mail!$A88)-LEN(AA$2)-1)))))</f>
        <v/>
      </c>
      <c r="AB90" t="str">
        <f>TRIM(CLEAN(IF(ISERROR(FIND(AB$2,Mail!$A88)),"",MID(Mail!$A88,FIND(AB$2,Mail!$A88)+LEN(AB$2)+1,IF(ISERROR(FIND("■",Mail!$A88,FIND(AB$2,Mail!$A88)+LEN(AB$2))-FIND(AB$2,Mail!$A88)-LEN(AB$2)),LEN(Mail!$A88)-60-FIND(AB$2,Mail!$A88)-LEN(AB$2),FIND("■",Mail!$A88,FIND(AB$2,Mail!$A88)+LEN(AB$2))-FIND(AB$2,Mail!$A88)-LEN(AB$2)-1)))))</f>
        <v/>
      </c>
      <c r="AC90" s="8" t="str">
        <f>TRIM(CLEAN(IF(ISERROR(FIND(AC$2,Mail!$A88)),"",MID(Mail!$A88,FIND(AC$2,Mail!$A88)+LEN(AC$2)+1,IF(ISERROR(FIND("■",Mail!$A88,FIND(AC$2,Mail!$A88)+LEN(AC$2))-FIND(AC$2,Mail!$A88)-LEN(AC$2)),LEN(Mail!$A88)-60-FIND(AC$2,Mail!$A88)-LEN(AC$2),FIND("■",Mail!$A88,FIND(AC$2,Mail!$A88)+LEN(AC$2))-FIND(AC$2,Mail!$A88)-LEN(AC$2)-1)))))</f>
        <v/>
      </c>
      <c r="AD90" t="str">
        <f>TRIM(CLEAN(IF(ISERROR(FIND(AD$2,Mail!$A88)),"",MID(Mail!$A88,FIND(AD$2,Mail!$A88)+LEN(AD$2)+1,IF(ISERROR(FIND("■",Mail!$A88,FIND(AD$2,Mail!$A88)+LEN(AD$2))-FIND(AD$2,Mail!$A88)-LEN(AD$2)),LEN(Mail!$A88)-60-FIND(AD$2,Mail!$A88)-LEN(AD$2),FIND("■",Mail!$A88,FIND(AD$2,Mail!$A88)+LEN(AD$2))-FIND(AD$2,Mail!$A88)-LEN(AD$2)-1)))))</f>
        <v/>
      </c>
      <c r="AE90" t="str">
        <f>TRIM(CLEAN(IF(ISERROR(FIND(AE$2,Mail!$A88)),"",MID(Mail!$A88,FIND(AE$2,Mail!$A88)+LEN(AE$2)+1,IF(ISERROR(FIND("■",Mail!$A88,FIND(AE$2,Mail!$A88)+LEN(AE$2))-FIND(AE$2,Mail!$A88)-LEN(AE$2)),LEN(Mail!$A88)-60-FIND(AE$2,Mail!$A88)-LEN(AE$2),FIND("■",Mail!$A88,FIND(AE$2,Mail!$A88)+LEN(AE$2))-FIND(AE$2,Mail!$A88)-LEN(AE$2)-1)))))</f>
        <v/>
      </c>
      <c r="AF90" t="str">
        <f>TRIM(CLEAN(IF(ISERROR(FIND(AF$2,Mail!$A88)),"",MID(Mail!$A88,FIND(AF$2,Mail!$A88)+LEN(AF$2)+1,IF(ISERROR(FIND("■",Mail!$A88,FIND(AF$2,Mail!$A88)+LEN(AF$2))-FIND(AF$2,Mail!$A88)-LEN(AF$2)),LEN(Mail!$A88)-60-FIND(AF$2,Mail!$A88)-LEN(AF$2),FIND("■",Mail!$A88,FIND(AF$2,Mail!$A88)+LEN(AF$2))-FIND(AF$2,Mail!$A88)-LEN(AF$2)-1)))))</f>
        <v/>
      </c>
      <c r="AG90" t="str">
        <f>TRIM(IF(ISERROR(FIND(AG$2,Mail!$A88)),"",MID(Mail!$A88,FIND(AG$2,Mail!$A88)+LEN(AG$2)+1,IF(ISERROR(FIND("■",Mail!$A88,FIND(AG$2,Mail!$A88)+LEN(AG$2))-FIND(AG$2,Mail!$A88)-LEN(AG$2)),LEN(Mail!$A88)-60-FIND(AG$2,Mail!$A88)-LEN(AG$2),FIND("■",Mail!$A88,FIND(AG$2,Mail!$A88)+LEN(AG$2))-FIND(AG$2,Mail!$A88)-LEN(AG$2)-1))))</f>
        <v/>
      </c>
      <c r="AH90" t="str">
        <f>TRIM(IF(ISERROR(FIND(AH$2,Mail!$A88)),"",MID(Mail!$A88,FIND(AH$2,Mail!$A88)+LEN(AH$2)+1,IF(ISERROR(FIND("■",Mail!$A88,FIND(AH$2,Mail!$A88)+LEN(AH$2))-FIND(AH$2,Mail!$A88)-LEN(AH$2)),LEN(Mail!$A88)-60-FIND(AH$2,Mail!$A88)-LEN(AH$2),FIND("■",Mail!$A88,FIND(AH$2,Mail!$A88)+LEN(AH$2))-FIND(AH$2,Mail!$A88)-LEN(AH$2)-1))))</f>
        <v/>
      </c>
      <c r="AI90" t="str">
        <f>TRIM(IF(ISERROR(FIND(AI$2,Mail!$A88)),"",MID(Mail!$A88,FIND(AI$2,Mail!$A88)+LEN(AI$2)+1,IF(ISERROR(FIND("■",Mail!$A88,FIND(AI$2,Mail!$A88)+LEN(AI$2))-FIND(AI$2,Mail!$A88)-LEN(AI$2)),LEN(Mail!$A88)-60-FIND(AI$2,Mail!$A88)-LEN(AI$2),FIND("■",Mail!$A88,FIND(AI$2,Mail!$A88)+LEN(AI$2))-FIND(AI$2,Mail!$A88)-LEN(AI$2)-1))))</f>
        <v/>
      </c>
    </row>
    <row r="91" spans="1:35" x14ac:dyDescent="0.15">
      <c r="A91" s="9" t="str">
        <f t="shared" si="6"/>
        <v/>
      </c>
      <c r="B91" s="8" t="str">
        <f>CLEAN(SUBSTITUTE(IF(ISERROR(FIND("yokohama",Mail!$A89)),"",MID(Mail!$A89,FIND("yokohama",Mail!$A89)+LEN("yokohama")+1,FIND("件目",Mail!$A89,FIND("yokohama",Mail!$A89))-(FIND("yokohama",Mail!$A89)+LEN("yokohama")+1)))," ",""))</f>
        <v/>
      </c>
      <c r="C91" s="2" t="str">
        <f t="shared" si="5"/>
        <v/>
      </c>
      <c r="D91" s="9" t="str">
        <f t="shared" si="7"/>
        <v/>
      </c>
      <c r="E91" s="8" t="str">
        <f t="shared" si="8"/>
        <v/>
      </c>
      <c r="F91" t="str">
        <f>TRIM(CLEAN(IF(ISERROR(FIND(F$2,Mail!$A89)),"",MID(Mail!$A89,FIND(F$2,Mail!$A89)+LEN(F$2)+1,IF(ISERROR(FIND("■",Mail!$A89,FIND(F$2,Mail!$A89)+LEN(F$2))-FIND(F$2,Mail!$A89)-LEN(F$2)),LEN(Mail!$A89)-60-FIND(F$2,Mail!$A89)-LEN(F$2),FIND("■",Mail!$A89,FIND(F$2,Mail!$A89)+LEN(F$2))-FIND(F$2,Mail!$A89)-LEN(F$2)-1)))))</f>
        <v/>
      </c>
      <c r="G91" t="str">
        <f>TRIM(CLEAN(IF(ISERROR(FIND(G$2,Mail!$A89)),"",MID(Mail!$A89,FIND(G$2,Mail!$A89)+LEN(G$2)+1,IF(ISERROR(FIND("■",Mail!$A89,FIND(G$2,Mail!$A89)+LEN(G$2))-FIND(G$2,Mail!$A89)-LEN(G$2)),LEN(Mail!$A89)-60-FIND(G$2,Mail!$A89)-LEN(G$2),FIND("■",Mail!$A89,FIND(G$2,Mail!$A89)+LEN(G$2))-FIND(G$2,Mail!$A89)-LEN(G$2)-1)))))</f>
        <v/>
      </c>
      <c r="H91" s="8" t="str">
        <f>TRIM(CLEAN(IF(ISERROR(FIND(H$2,Mail!$A89)),"",MID(Mail!$A89,FIND(H$2,Mail!$A89)+LEN(H$2)+1,IF(ISERROR(FIND("■",Mail!$A89,FIND(H$2,Mail!$A89)+LEN(H$2))-FIND(H$2,Mail!$A89)-LEN(H$2)),LEN(Mail!$A89)-60-FIND(H$2,Mail!$A89)-LEN(H$2),FIND("■",Mail!$A89,FIND(H$2,Mail!$A89)+LEN(H$2))-FIND(H$2,Mail!$A89)-LEN(H$2)-1)))))</f>
        <v/>
      </c>
      <c r="I91" t="str">
        <f>TRIM(CLEAN(IF(ISERROR(FIND(I$2,Mail!$A89)),"",MID(Mail!$A89,FIND(I$2,Mail!$A89)+LEN(I$2)+1,IF(ISERROR(FIND("■",Mail!$A89,FIND(I$2,Mail!$A89)+LEN(I$2))-FIND(I$2,Mail!$A89)-LEN(I$2)),LEN(Mail!$A89)-60-FIND(I$2,Mail!$A89)-LEN(I$2),FIND("■",Mail!$A89,FIND(I$2,Mail!$A89)+LEN(I$2))-FIND(I$2,Mail!$A89)-LEN(I$2)-1)))))</f>
        <v/>
      </c>
      <c r="J91" t="str">
        <f>TRIM(IF(ISERROR(FIND(J$2,Mail!$A89)),"",MID(Mail!$A89,FIND(J$2,Mail!$A89)+LEN(J$2)+1,IF(ISERROR(FIND("■",Mail!$A89,FIND(J$2,Mail!$A89)+LEN(J$2))-FIND(J$2,Mail!$A89)-LEN(J$2)),LEN(Mail!$A89)-60-FIND(J$2,Mail!$A89)-LEN(J$2),FIND("■",Mail!$A89,FIND(J$2,Mail!$A89)+LEN(J$2))-FIND(J$2,Mail!$A89)-LEN(J$2)-1))))</f>
        <v/>
      </c>
      <c r="K91" t="str">
        <f>TRIM(IF(ISERROR(FIND(K$2,Mail!$A89)),"",MID(Mail!$A89,FIND(K$2,Mail!$A89)+LEN(K$2)+1,IF(ISERROR(FIND("■",Mail!$A89,FIND(K$2,Mail!$A89)+LEN(K$2))-FIND(K$2,Mail!$A89)-LEN(K$2)),LEN(Mail!$A89)-60-FIND(K$2,Mail!$A89)-LEN(K$2),FIND("■",Mail!$A89,FIND(K$2,Mail!$A89)+LEN(K$2))-FIND(K$2,Mail!$A89)-LEN(K$2)-1))))</f>
        <v/>
      </c>
      <c r="L91" t="str">
        <f>TRIM(IF(ISERROR(FIND(L$2,Mail!$A89)),"",MID(Mail!$A89,FIND(L$2,Mail!$A89)+LEN(L$2)+1,IF(ISERROR(FIND("■",Mail!$A89,FIND(L$2,Mail!$A89)+LEN(L$2))-FIND(L$2,Mail!$A89)-LEN(L$2)),LEN(Mail!$A89)-60-FIND(L$2,Mail!$A89)-LEN(L$2),FIND("■",Mail!$A89,FIND(L$2,Mail!$A89)+LEN(L$2))-FIND(L$2,Mail!$A89)-LEN(L$2)-1))))</f>
        <v/>
      </c>
      <c r="M91" t="str">
        <f>TRIM(CLEAN(IF(ISERROR(FIND(M$2,Mail!$A89)),"",MID(Mail!$A89,FIND(M$2,Mail!$A89)+LEN(M$2)+1,IF(ISERROR(FIND("■",Mail!$A89,FIND(M$2,Mail!$A89)+LEN(M$2))-FIND(M$2,Mail!$A89)-LEN(M$2)),LEN(Mail!$A89)-60-FIND(M$2,Mail!$A89)-LEN(M$2),FIND("■",Mail!$A89,FIND(M$2,Mail!$A89)+LEN(M$2))-FIND(M$2,Mail!$A89)-LEN(M$2)-1)))))</f>
        <v/>
      </c>
      <c r="N91" t="str">
        <f>TRIM(CLEAN(IF(ISERROR(FIND(N$2,Mail!$A89)),"",MID(Mail!$A89,FIND(N$2,Mail!$A89)+LEN(N$2)+1,IF(ISERROR(FIND("■",Mail!$A89,FIND(N$2,Mail!$A89)+LEN(N$2))-FIND(N$2,Mail!$A89)-LEN(N$2)),LEN(Mail!$A89)-60-FIND(N$2,Mail!$A89)-LEN(N$2),FIND("■",Mail!$A89,FIND(N$2,Mail!$A89)+LEN(N$2))-FIND(N$2,Mail!$A89)-LEN(N$2)-1)))))</f>
        <v/>
      </c>
      <c r="O91" t="str">
        <f>TRIM(CLEAN(IF(ISERROR(FIND(O$2,Mail!$A89)),"",MID(Mail!$A89,FIND(O$2,Mail!$A89)+LEN(O$2)+1,IF(ISERROR(FIND("■",Mail!$A89,FIND(O$2,Mail!$A89)+LEN(O$2))-FIND(O$2,Mail!$A89)-LEN(O$2)),LEN(Mail!$A89)-60-FIND(O$2,Mail!$A89)-LEN(O$2),FIND("■",Mail!$A89,FIND(O$2,Mail!$A89)+LEN(O$2))-FIND(O$2,Mail!$A89)-LEN(O$2)-1)))))</f>
        <v/>
      </c>
      <c r="P91" t="str">
        <f>TRIM(CLEAN(IF(ISERROR(FIND(P$2,Mail!$A89)),"",MID(Mail!$A89,FIND(P$2,Mail!$A89)+LEN(P$2)+1,IF(ISERROR(FIND("■",Mail!$A89,FIND(P$2,Mail!$A89)+LEN(P$2))-FIND(P$2,Mail!$A89)-LEN(P$2)),LEN(Mail!$A89)-60-FIND(P$2,Mail!$A89)-LEN(P$2),FIND("■",Mail!$A89,FIND(P$2,Mail!$A89)+LEN(P$2))-FIND(P$2,Mail!$A89)-LEN(P$2)-1)))))</f>
        <v/>
      </c>
      <c r="Q91" t="str">
        <f>TRIM(CLEAN(IF(ISERROR(FIND(Q$2,Mail!$A89)),"",MID(Mail!$A89,FIND(Q$2,Mail!$A89)+LEN(Q$2)+1,IF(ISERROR(FIND("■",Mail!$A89,FIND(Q$2,Mail!$A89)+LEN(Q$2))-FIND(Q$2,Mail!$A89)-LEN(Q$2)),LEN(Mail!$A89)-60-FIND(Q$2,Mail!$A89)-LEN(Q$2),FIND("■",Mail!$A89,FIND(Q$2,Mail!$A89)+LEN(Q$2))-FIND(Q$2,Mail!$A89)-LEN(Q$2)-1)))))</f>
        <v/>
      </c>
      <c r="R91" s="8" t="str">
        <f>TRIM(CLEAN(IF(ISERROR(FIND(R$2,Mail!$A89)),"",MID(Mail!$A89,FIND(R$2,Mail!$A89)+LEN(R$2)+1,IF(ISERROR(FIND("■",Mail!$A89,FIND(R$2,Mail!$A89)+LEN(R$2))-FIND(R$2,Mail!$A89)-LEN(R$2)),LEN(Mail!$A89)-60-FIND(R$2,Mail!$A89)-LEN(R$2),FIND("■",Mail!$A89,FIND(R$2,Mail!$A89)+LEN(R$2))-FIND(R$2,Mail!$A89)-LEN(R$2)-1)))))</f>
        <v/>
      </c>
      <c r="S91" t="str">
        <f>TRIM(CLEAN(IF(ISERROR(FIND(S$2,Mail!$A89)),"",MID(Mail!$A89,FIND(S$2,Mail!$A89)+LEN(S$2)+1,IF(ISERROR(FIND("■",Mail!$A89,FIND(S$2,Mail!$A89)+LEN(S$2))-FIND(S$2,Mail!$A89)-LEN(S$2)),LEN(Mail!$A89)-60-FIND(S$2,Mail!$A89)-LEN(S$2),FIND("■",Mail!$A89,FIND(S$2,Mail!$A89)+LEN(S$2))-FIND(S$2,Mail!$A89)-LEN(S$2)-1)))))</f>
        <v/>
      </c>
      <c r="T91" t="str">
        <f>TRIM(CLEAN(IF(ISERROR(FIND(T$2,Mail!$A89)),"",MID(Mail!$A89,FIND(T$2,Mail!$A89)+LEN(T$2)+1,IF(ISERROR(FIND("■",Mail!$A89,FIND(T$2,Mail!$A89)+LEN(T$2))-FIND(T$2,Mail!$A89)-LEN(T$2)),LEN(Mail!$A89)-60-FIND(T$2,Mail!$A89)-LEN(T$2),FIND("■",Mail!$A89,FIND(T$2,Mail!$A89)+LEN(T$2))-FIND(T$2,Mail!$A89)-LEN(T$2)-1)))))</f>
        <v/>
      </c>
      <c r="U91" t="str">
        <f>TRIM(CLEAN(IF(ISERROR(FIND(U$2,Mail!$A89)),"",MID(Mail!$A89,FIND(U$2,Mail!$A89)+LEN(U$2)+1,IF(ISERROR(FIND("■",Mail!$A89,FIND(U$2,Mail!$A89)+LEN(U$2))-FIND(U$2,Mail!$A89)-LEN(U$2)),LEN(Mail!$A89)-60-FIND(U$2,Mail!$A89)-LEN(U$2),FIND("■",Mail!$A89,FIND(U$2,Mail!$A89)+LEN(U$2))-FIND(U$2,Mail!$A89)-LEN(U$2)-1)))))</f>
        <v/>
      </c>
      <c r="V91" t="str">
        <f>TRIM(CLEAN(IF(ISERROR(FIND(V$2,Mail!$A89)),"",MID(Mail!$A89,FIND(V$2,Mail!$A89)+LEN(V$2)+1,IF(ISERROR(FIND("■",Mail!$A89,FIND(V$2,Mail!$A89)+LEN(V$2))-FIND(V$2,Mail!$A89)-LEN(V$2)),LEN(Mail!$A89)-60-FIND(V$2,Mail!$A89)-LEN(V$2),FIND("■",Mail!$A89,FIND(V$2,Mail!$A89)+LEN(V$2))-FIND(V$2,Mail!$A89)-LEN(V$2)-1)))))</f>
        <v/>
      </c>
      <c r="W91" t="str">
        <f>TRIM(CLEAN(IF(ISERROR(FIND(W$2,Mail!$A89)),"",MID(Mail!$A89,FIND(W$2,Mail!$A89)+LEN(W$2)+1,IF(ISERROR(FIND("■",Mail!$A89,FIND(W$2,Mail!$A89)+LEN(W$2))-FIND(W$2,Mail!$A89)-LEN(W$2)),LEN(Mail!$A89)-60-FIND(W$2,Mail!$A89)-LEN(W$2),FIND("■",Mail!$A89,FIND(W$2,Mail!$A89)+LEN(W$2))-FIND(W$2,Mail!$A89)-LEN(W$2)-1)))))</f>
        <v/>
      </c>
      <c r="X91" t="str">
        <f>TRIM(IF(ISERROR(FIND(X$2,Mail!$A89)),"",MID(Mail!$A89,FIND(X$2,Mail!$A89)+LEN(X$2)+1,IF(ISERROR(FIND("■",Mail!$A89,FIND(X$2,Mail!$A89)+LEN(X$2))-FIND(X$2,Mail!$A89)-LEN(X$2)),LEN(Mail!$A89)-60-FIND(X$2,Mail!$A89)-LEN(X$2),FIND("■",Mail!$A89,FIND(X$2,Mail!$A89)+LEN(X$2))-FIND(X$2,Mail!$A89)-LEN(X$2)-1))))</f>
        <v/>
      </c>
      <c r="Y91" t="str">
        <f>TRIM(CLEAN(IF(ISERROR(FIND(Y$2,Mail!$A89)),"",MID(Mail!$A89,FIND(Y$2,Mail!$A89)+LEN(Y$2)+1,IF(ISERROR(FIND("■",Mail!$A89,FIND(Y$2,Mail!$A89)+LEN(Y$2))-FIND(Y$2,Mail!$A89)-LEN(Y$2)),LEN(Mail!$A89)-60-FIND(Y$2,Mail!$A89)-LEN(Y$2),FIND("■",Mail!$A89,FIND(Y$2,Mail!$A89)+LEN(Y$2))-FIND(Y$2,Mail!$A89)-LEN(Y$2)-1)))))</f>
        <v/>
      </c>
      <c r="Z91" t="str">
        <f>TRIM(CLEAN(IF(ISERROR(FIND(Z$2,Mail!$A89)),"",MID(Mail!$A89,FIND(Z$2,Mail!$A89)+LEN(Z$2)+1,IF(ISERROR(FIND("■",Mail!$A89,FIND(Z$2,Mail!$A89)+LEN(Z$2))-FIND(Z$2,Mail!$A89)-LEN(Z$2)),LEN(Mail!$A89)-60-FIND(Z$2,Mail!$A89)-LEN(Z$2),FIND("■",Mail!$A89,FIND(Z$2,Mail!$A89)+LEN(Z$2))-FIND(Z$2,Mail!$A89)-LEN(Z$2)-1)))))</f>
        <v/>
      </c>
      <c r="AA91" t="str">
        <f>TRIM(CLEAN(IF(ISERROR(FIND(AA$2,Mail!$A89)),"",MID(Mail!$A89,FIND(AA$2,Mail!$A89)+LEN(AA$2)+1,IF(ISERROR(FIND("■",Mail!$A89,FIND(AA$2,Mail!$A89)+LEN(AA$2))-FIND(AA$2,Mail!$A89)-LEN(AA$2)),LEN(Mail!$A89)-60-FIND(AA$2,Mail!$A89)-LEN(AA$2),FIND("■",Mail!$A89,FIND(AA$2,Mail!$A89)+LEN(AA$2))-FIND(AA$2,Mail!$A89)-LEN(AA$2)-1)))))</f>
        <v/>
      </c>
      <c r="AB91" t="str">
        <f>TRIM(CLEAN(IF(ISERROR(FIND(AB$2,Mail!$A89)),"",MID(Mail!$A89,FIND(AB$2,Mail!$A89)+LEN(AB$2)+1,IF(ISERROR(FIND("■",Mail!$A89,FIND(AB$2,Mail!$A89)+LEN(AB$2))-FIND(AB$2,Mail!$A89)-LEN(AB$2)),LEN(Mail!$A89)-60-FIND(AB$2,Mail!$A89)-LEN(AB$2),FIND("■",Mail!$A89,FIND(AB$2,Mail!$A89)+LEN(AB$2))-FIND(AB$2,Mail!$A89)-LEN(AB$2)-1)))))</f>
        <v/>
      </c>
      <c r="AC91" s="8" t="str">
        <f>TRIM(CLEAN(IF(ISERROR(FIND(AC$2,Mail!$A89)),"",MID(Mail!$A89,FIND(AC$2,Mail!$A89)+LEN(AC$2)+1,IF(ISERROR(FIND("■",Mail!$A89,FIND(AC$2,Mail!$A89)+LEN(AC$2))-FIND(AC$2,Mail!$A89)-LEN(AC$2)),LEN(Mail!$A89)-60-FIND(AC$2,Mail!$A89)-LEN(AC$2),FIND("■",Mail!$A89,FIND(AC$2,Mail!$A89)+LEN(AC$2))-FIND(AC$2,Mail!$A89)-LEN(AC$2)-1)))))</f>
        <v/>
      </c>
      <c r="AD91" t="str">
        <f>TRIM(CLEAN(IF(ISERROR(FIND(AD$2,Mail!$A89)),"",MID(Mail!$A89,FIND(AD$2,Mail!$A89)+LEN(AD$2)+1,IF(ISERROR(FIND("■",Mail!$A89,FIND(AD$2,Mail!$A89)+LEN(AD$2))-FIND(AD$2,Mail!$A89)-LEN(AD$2)),LEN(Mail!$A89)-60-FIND(AD$2,Mail!$A89)-LEN(AD$2),FIND("■",Mail!$A89,FIND(AD$2,Mail!$A89)+LEN(AD$2))-FIND(AD$2,Mail!$A89)-LEN(AD$2)-1)))))</f>
        <v/>
      </c>
      <c r="AE91" t="str">
        <f>TRIM(CLEAN(IF(ISERROR(FIND(AE$2,Mail!$A89)),"",MID(Mail!$A89,FIND(AE$2,Mail!$A89)+LEN(AE$2)+1,IF(ISERROR(FIND("■",Mail!$A89,FIND(AE$2,Mail!$A89)+LEN(AE$2))-FIND(AE$2,Mail!$A89)-LEN(AE$2)),LEN(Mail!$A89)-60-FIND(AE$2,Mail!$A89)-LEN(AE$2),FIND("■",Mail!$A89,FIND(AE$2,Mail!$A89)+LEN(AE$2))-FIND(AE$2,Mail!$A89)-LEN(AE$2)-1)))))</f>
        <v/>
      </c>
      <c r="AF91" t="str">
        <f>TRIM(CLEAN(IF(ISERROR(FIND(AF$2,Mail!$A89)),"",MID(Mail!$A89,FIND(AF$2,Mail!$A89)+LEN(AF$2)+1,IF(ISERROR(FIND("■",Mail!$A89,FIND(AF$2,Mail!$A89)+LEN(AF$2))-FIND(AF$2,Mail!$A89)-LEN(AF$2)),LEN(Mail!$A89)-60-FIND(AF$2,Mail!$A89)-LEN(AF$2),FIND("■",Mail!$A89,FIND(AF$2,Mail!$A89)+LEN(AF$2))-FIND(AF$2,Mail!$A89)-LEN(AF$2)-1)))))</f>
        <v/>
      </c>
      <c r="AG91" t="str">
        <f>TRIM(IF(ISERROR(FIND(AG$2,Mail!$A89)),"",MID(Mail!$A89,FIND(AG$2,Mail!$A89)+LEN(AG$2)+1,IF(ISERROR(FIND("■",Mail!$A89,FIND(AG$2,Mail!$A89)+LEN(AG$2))-FIND(AG$2,Mail!$A89)-LEN(AG$2)),LEN(Mail!$A89)-60-FIND(AG$2,Mail!$A89)-LEN(AG$2),FIND("■",Mail!$A89,FIND(AG$2,Mail!$A89)+LEN(AG$2))-FIND(AG$2,Mail!$A89)-LEN(AG$2)-1))))</f>
        <v/>
      </c>
      <c r="AH91" t="str">
        <f>TRIM(IF(ISERROR(FIND(AH$2,Mail!$A89)),"",MID(Mail!$A89,FIND(AH$2,Mail!$A89)+LEN(AH$2)+1,IF(ISERROR(FIND("■",Mail!$A89,FIND(AH$2,Mail!$A89)+LEN(AH$2))-FIND(AH$2,Mail!$A89)-LEN(AH$2)),LEN(Mail!$A89)-60-FIND(AH$2,Mail!$A89)-LEN(AH$2),FIND("■",Mail!$A89,FIND(AH$2,Mail!$A89)+LEN(AH$2))-FIND(AH$2,Mail!$A89)-LEN(AH$2)-1))))</f>
        <v/>
      </c>
      <c r="AI91" t="str">
        <f>TRIM(IF(ISERROR(FIND(AI$2,Mail!$A89)),"",MID(Mail!$A89,FIND(AI$2,Mail!$A89)+LEN(AI$2)+1,IF(ISERROR(FIND("■",Mail!$A89,FIND(AI$2,Mail!$A89)+LEN(AI$2))-FIND(AI$2,Mail!$A89)-LEN(AI$2)),LEN(Mail!$A89)-60-FIND(AI$2,Mail!$A89)-LEN(AI$2),FIND("■",Mail!$A89,FIND(AI$2,Mail!$A89)+LEN(AI$2))-FIND(AI$2,Mail!$A89)-LEN(AI$2)-1))))</f>
        <v/>
      </c>
    </row>
    <row r="92" spans="1:35" x14ac:dyDescent="0.15">
      <c r="A92" s="9" t="str">
        <f t="shared" si="6"/>
        <v/>
      </c>
      <c r="B92" s="8" t="str">
        <f>CLEAN(SUBSTITUTE(IF(ISERROR(FIND("yokohama",Mail!$A90)),"",MID(Mail!$A90,FIND("yokohama",Mail!$A90)+LEN("yokohama")+1,FIND("件目",Mail!$A90,FIND("yokohama",Mail!$A90))-(FIND("yokohama",Mail!$A90)+LEN("yokohama")+1)))," ",""))</f>
        <v/>
      </c>
      <c r="C92" s="2" t="str">
        <f t="shared" si="5"/>
        <v/>
      </c>
      <c r="D92" s="9" t="str">
        <f t="shared" si="7"/>
        <v/>
      </c>
      <c r="E92" s="8" t="str">
        <f t="shared" si="8"/>
        <v/>
      </c>
      <c r="F92" t="str">
        <f>TRIM(CLEAN(IF(ISERROR(FIND(F$2,Mail!$A90)),"",MID(Mail!$A90,FIND(F$2,Mail!$A90)+LEN(F$2)+1,IF(ISERROR(FIND("■",Mail!$A90,FIND(F$2,Mail!$A90)+LEN(F$2))-FIND(F$2,Mail!$A90)-LEN(F$2)),LEN(Mail!$A90)-60-FIND(F$2,Mail!$A90)-LEN(F$2),FIND("■",Mail!$A90,FIND(F$2,Mail!$A90)+LEN(F$2))-FIND(F$2,Mail!$A90)-LEN(F$2)-1)))))</f>
        <v/>
      </c>
      <c r="G92" t="str">
        <f>TRIM(CLEAN(IF(ISERROR(FIND(G$2,Mail!$A90)),"",MID(Mail!$A90,FIND(G$2,Mail!$A90)+LEN(G$2)+1,IF(ISERROR(FIND("■",Mail!$A90,FIND(G$2,Mail!$A90)+LEN(G$2))-FIND(G$2,Mail!$A90)-LEN(G$2)),LEN(Mail!$A90)-60-FIND(G$2,Mail!$A90)-LEN(G$2),FIND("■",Mail!$A90,FIND(G$2,Mail!$A90)+LEN(G$2))-FIND(G$2,Mail!$A90)-LEN(G$2)-1)))))</f>
        <v/>
      </c>
      <c r="H92" s="8" t="str">
        <f>TRIM(CLEAN(IF(ISERROR(FIND(H$2,Mail!$A90)),"",MID(Mail!$A90,FIND(H$2,Mail!$A90)+LEN(H$2)+1,IF(ISERROR(FIND("■",Mail!$A90,FIND(H$2,Mail!$A90)+LEN(H$2))-FIND(H$2,Mail!$A90)-LEN(H$2)),LEN(Mail!$A90)-60-FIND(H$2,Mail!$A90)-LEN(H$2),FIND("■",Mail!$A90,FIND(H$2,Mail!$A90)+LEN(H$2))-FIND(H$2,Mail!$A90)-LEN(H$2)-1)))))</f>
        <v/>
      </c>
      <c r="I92" t="str">
        <f>TRIM(CLEAN(IF(ISERROR(FIND(I$2,Mail!$A90)),"",MID(Mail!$A90,FIND(I$2,Mail!$A90)+LEN(I$2)+1,IF(ISERROR(FIND("■",Mail!$A90,FIND(I$2,Mail!$A90)+LEN(I$2))-FIND(I$2,Mail!$A90)-LEN(I$2)),LEN(Mail!$A90)-60-FIND(I$2,Mail!$A90)-LEN(I$2),FIND("■",Mail!$A90,FIND(I$2,Mail!$A90)+LEN(I$2))-FIND(I$2,Mail!$A90)-LEN(I$2)-1)))))</f>
        <v/>
      </c>
      <c r="J92" t="str">
        <f>TRIM(IF(ISERROR(FIND(J$2,Mail!$A90)),"",MID(Mail!$A90,FIND(J$2,Mail!$A90)+LEN(J$2)+1,IF(ISERROR(FIND("■",Mail!$A90,FIND(J$2,Mail!$A90)+LEN(J$2))-FIND(J$2,Mail!$A90)-LEN(J$2)),LEN(Mail!$A90)-60-FIND(J$2,Mail!$A90)-LEN(J$2),FIND("■",Mail!$A90,FIND(J$2,Mail!$A90)+LEN(J$2))-FIND(J$2,Mail!$A90)-LEN(J$2)-1))))</f>
        <v/>
      </c>
      <c r="K92" t="str">
        <f>TRIM(IF(ISERROR(FIND(K$2,Mail!$A90)),"",MID(Mail!$A90,FIND(K$2,Mail!$A90)+LEN(K$2)+1,IF(ISERROR(FIND("■",Mail!$A90,FIND(K$2,Mail!$A90)+LEN(K$2))-FIND(K$2,Mail!$A90)-LEN(K$2)),LEN(Mail!$A90)-60-FIND(K$2,Mail!$A90)-LEN(K$2),FIND("■",Mail!$A90,FIND(K$2,Mail!$A90)+LEN(K$2))-FIND(K$2,Mail!$A90)-LEN(K$2)-1))))</f>
        <v/>
      </c>
      <c r="L92" t="str">
        <f>TRIM(IF(ISERROR(FIND(L$2,Mail!$A90)),"",MID(Mail!$A90,FIND(L$2,Mail!$A90)+LEN(L$2)+1,IF(ISERROR(FIND("■",Mail!$A90,FIND(L$2,Mail!$A90)+LEN(L$2))-FIND(L$2,Mail!$A90)-LEN(L$2)),LEN(Mail!$A90)-60-FIND(L$2,Mail!$A90)-LEN(L$2),FIND("■",Mail!$A90,FIND(L$2,Mail!$A90)+LEN(L$2))-FIND(L$2,Mail!$A90)-LEN(L$2)-1))))</f>
        <v/>
      </c>
      <c r="M92" t="str">
        <f>TRIM(CLEAN(IF(ISERROR(FIND(M$2,Mail!$A90)),"",MID(Mail!$A90,FIND(M$2,Mail!$A90)+LEN(M$2)+1,IF(ISERROR(FIND("■",Mail!$A90,FIND(M$2,Mail!$A90)+LEN(M$2))-FIND(M$2,Mail!$A90)-LEN(M$2)),LEN(Mail!$A90)-60-FIND(M$2,Mail!$A90)-LEN(M$2),FIND("■",Mail!$A90,FIND(M$2,Mail!$A90)+LEN(M$2))-FIND(M$2,Mail!$A90)-LEN(M$2)-1)))))</f>
        <v/>
      </c>
      <c r="N92" t="str">
        <f>TRIM(CLEAN(IF(ISERROR(FIND(N$2,Mail!$A90)),"",MID(Mail!$A90,FIND(N$2,Mail!$A90)+LEN(N$2)+1,IF(ISERROR(FIND("■",Mail!$A90,FIND(N$2,Mail!$A90)+LEN(N$2))-FIND(N$2,Mail!$A90)-LEN(N$2)),LEN(Mail!$A90)-60-FIND(N$2,Mail!$A90)-LEN(N$2),FIND("■",Mail!$A90,FIND(N$2,Mail!$A90)+LEN(N$2))-FIND(N$2,Mail!$A90)-LEN(N$2)-1)))))</f>
        <v/>
      </c>
      <c r="O92" t="str">
        <f>TRIM(CLEAN(IF(ISERROR(FIND(O$2,Mail!$A90)),"",MID(Mail!$A90,FIND(O$2,Mail!$A90)+LEN(O$2)+1,IF(ISERROR(FIND("■",Mail!$A90,FIND(O$2,Mail!$A90)+LEN(O$2))-FIND(O$2,Mail!$A90)-LEN(O$2)),LEN(Mail!$A90)-60-FIND(O$2,Mail!$A90)-LEN(O$2),FIND("■",Mail!$A90,FIND(O$2,Mail!$A90)+LEN(O$2))-FIND(O$2,Mail!$A90)-LEN(O$2)-1)))))</f>
        <v/>
      </c>
      <c r="P92" t="str">
        <f>TRIM(CLEAN(IF(ISERROR(FIND(P$2,Mail!$A90)),"",MID(Mail!$A90,FIND(P$2,Mail!$A90)+LEN(P$2)+1,IF(ISERROR(FIND("■",Mail!$A90,FIND(P$2,Mail!$A90)+LEN(P$2))-FIND(P$2,Mail!$A90)-LEN(P$2)),LEN(Mail!$A90)-60-FIND(P$2,Mail!$A90)-LEN(P$2),FIND("■",Mail!$A90,FIND(P$2,Mail!$A90)+LEN(P$2))-FIND(P$2,Mail!$A90)-LEN(P$2)-1)))))</f>
        <v/>
      </c>
      <c r="Q92" t="str">
        <f>TRIM(CLEAN(IF(ISERROR(FIND(Q$2,Mail!$A90)),"",MID(Mail!$A90,FIND(Q$2,Mail!$A90)+LEN(Q$2)+1,IF(ISERROR(FIND("■",Mail!$A90,FIND(Q$2,Mail!$A90)+LEN(Q$2))-FIND(Q$2,Mail!$A90)-LEN(Q$2)),LEN(Mail!$A90)-60-FIND(Q$2,Mail!$A90)-LEN(Q$2),FIND("■",Mail!$A90,FIND(Q$2,Mail!$A90)+LEN(Q$2))-FIND(Q$2,Mail!$A90)-LEN(Q$2)-1)))))</f>
        <v/>
      </c>
      <c r="R92" s="8" t="str">
        <f>TRIM(CLEAN(IF(ISERROR(FIND(R$2,Mail!$A90)),"",MID(Mail!$A90,FIND(R$2,Mail!$A90)+LEN(R$2)+1,IF(ISERROR(FIND("■",Mail!$A90,FIND(R$2,Mail!$A90)+LEN(R$2))-FIND(R$2,Mail!$A90)-LEN(R$2)),LEN(Mail!$A90)-60-FIND(R$2,Mail!$A90)-LEN(R$2),FIND("■",Mail!$A90,FIND(R$2,Mail!$A90)+LEN(R$2))-FIND(R$2,Mail!$A90)-LEN(R$2)-1)))))</f>
        <v/>
      </c>
      <c r="S92" t="str">
        <f>TRIM(CLEAN(IF(ISERROR(FIND(S$2,Mail!$A90)),"",MID(Mail!$A90,FIND(S$2,Mail!$A90)+LEN(S$2)+1,IF(ISERROR(FIND("■",Mail!$A90,FIND(S$2,Mail!$A90)+LEN(S$2))-FIND(S$2,Mail!$A90)-LEN(S$2)),LEN(Mail!$A90)-60-FIND(S$2,Mail!$A90)-LEN(S$2),FIND("■",Mail!$A90,FIND(S$2,Mail!$A90)+LEN(S$2))-FIND(S$2,Mail!$A90)-LEN(S$2)-1)))))</f>
        <v/>
      </c>
      <c r="T92" t="str">
        <f>TRIM(CLEAN(IF(ISERROR(FIND(T$2,Mail!$A90)),"",MID(Mail!$A90,FIND(T$2,Mail!$A90)+LEN(T$2)+1,IF(ISERROR(FIND("■",Mail!$A90,FIND(T$2,Mail!$A90)+LEN(T$2))-FIND(T$2,Mail!$A90)-LEN(T$2)),LEN(Mail!$A90)-60-FIND(T$2,Mail!$A90)-LEN(T$2),FIND("■",Mail!$A90,FIND(T$2,Mail!$A90)+LEN(T$2))-FIND(T$2,Mail!$A90)-LEN(T$2)-1)))))</f>
        <v/>
      </c>
      <c r="U92" t="str">
        <f>TRIM(CLEAN(IF(ISERROR(FIND(U$2,Mail!$A90)),"",MID(Mail!$A90,FIND(U$2,Mail!$A90)+LEN(U$2)+1,IF(ISERROR(FIND("■",Mail!$A90,FIND(U$2,Mail!$A90)+LEN(U$2))-FIND(U$2,Mail!$A90)-LEN(U$2)),LEN(Mail!$A90)-60-FIND(U$2,Mail!$A90)-LEN(U$2),FIND("■",Mail!$A90,FIND(U$2,Mail!$A90)+LEN(U$2))-FIND(U$2,Mail!$A90)-LEN(U$2)-1)))))</f>
        <v/>
      </c>
      <c r="V92" t="str">
        <f>TRIM(CLEAN(IF(ISERROR(FIND(V$2,Mail!$A90)),"",MID(Mail!$A90,FIND(V$2,Mail!$A90)+LEN(V$2)+1,IF(ISERROR(FIND("■",Mail!$A90,FIND(V$2,Mail!$A90)+LEN(V$2))-FIND(V$2,Mail!$A90)-LEN(V$2)),LEN(Mail!$A90)-60-FIND(V$2,Mail!$A90)-LEN(V$2),FIND("■",Mail!$A90,FIND(V$2,Mail!$A90)+LEN(V$2))-FIND(V$2,Mail!$A90)-LEN(V$2)-1)))))</f>
        <v/>
      </c>
      <c r="W92" t="str">
        <f>TRIM(CLEAN(IF(ISERROR(FIND(W$2,Mail!$A90)),"",MID(Mail!$A90,FIND(W$2,Mail!$A90)+LEN(W$2)+1,IF(ISERROR(FIND("■",Mail!$A90,FIND(W$2,Mail!$A90)+LEN(W$2))-FIND(W$2,Mail!$A90)-LEN(W$2)),LEN(Mail!$A90)-60-FIND(W$2,Mail!$A90)-LEN(W$2),FIND("■",Mail!$A90,FIND(W$2,Mail!$A90)+LEN(W$2))-FIND(W$2,Mail!$A90)-LEN(W$2)-1)))))</f>
        <v/>
      </c>
      <c r="X92" t="str">
        <f>TRIM(IF(ISERROR(FIND(X$2,Mail!$A90)),"",MID(Mail!$A90,FIND(X$2,Mail!$A90)+LEN(X$2)+1,IF(ISERROR(FIND("■",Mail!$A90,FIND(X$2,Mail!$A90)+LEN(X$2))-FIND(X$2,Mail!$A90)-LEN(X$2)),LEN(Mail!$A90)-60-FIND(X$2,Mail!$A90)-LEN(X$2),FIND("■",Mail!$A90,FIND(X$2,Mail!$A90)+LEN(X$2))-FIND(X$2,Mail!$A90)-LEN(X$2)-1))))</f>
        <v/>
      </c>
      <c r="Y92" t="str">
        <f>TRIM(CLEAN(IF(ISERROR(FIND(Y$2,Mail!$A90)),"",MID(Mail!$A90,FIND(Y$2,Mail!$A90)+LEN(Y$2)+1,IF(ISERROR(FIND("■",Mail!$A90,FIND(Y$2,Mail!$A90)+LEN(Y$2))-FIND(Y$2,Mail!$A90)-LEN(Y$2)),LEN(Mail!$A90)-60-FIND(Y$2,Mail!$A90)-LEN(Y$2),FIND("■",Mail!$A90,FIND(Y$2,Mail!$A90)+LEN(Y$2))-FIND(Y$2,Mail!$A90)-LEN(Y$2)-1)))))</f>
        <v/>
      </c>
      <c r="Z92" t="str">
        <f>TRIM(CLEAN(IF(ISERROR(FIND(Z$2,Mail!$A90)),"",MID(Mail!$A90,FIND(Z$2,Mail!$A90)+LEN(Z$2)+1,IF(ISERROR(FIND("■",Mail!$A90,FIND(Z$2,Mail!$A90)+LEN(Z$2))-FIND(Z$2,Mail!$A90)-LEN(Z$2)),LEN(Mail!$A90)-60-FIND(Z$2,Mail!$A90)-LEN(Z$2),FIND("■",Mail!$A90,FIND(Z$2,Mail!$A90)+LEN(Z$2))-FIND(Z$2,Mail!$A90)-LEN(Z$2)-1)))))</f>
        <v/>
      </c>
      <c r="AA92" t="str">
        <f>TRIM(CLEAN(IF(ISERROR(FIND(AA$2,Mail!$A90)),"",MID(Mail!$A90,FIND(AA$2,Mail!$A90)+LEN(AA$2)+1,IF(ISERROR(FIND("■",Mail!$A90,FIND(AA$2,Mail!$A90)+LEN(AA$2))-FIND(AA$2,Mail!$A90)-LEN(AA$2)),LEN(Mail!$A90)-60-FIND(AA$2,Mail!$A90)-LEN(AA$2),FIND("■",Mail!$A90,FIND(AA$2,Mail!$A90)+LEN(AA$2))-FIND(AA$2,Mail!$A90)-LEN(AA$2)-1)))))</f>
        <v/>
      </c>
      <c r="AB92" t="str">
        <f>TRIM(CLEAN(IF(ISERROR(FIND(AB$2,Mail!$A90)),"",MID(Mail!$A90,FIND(AB$2,Mail!$A90)+LEN(AB$2)+1,IF(ISERROR(FIND("■",Mail!$A90,FIND(AB$2,Mail!$A90)+LEN(AB$2))-FIND(AB$2,Mail!$A90)-LEN(AB$2)),LEN(Mail!$A90)-60-FIND(AB$2,Mail!$A90)-LEN(AB$2),FIND("■",Mail!$A90,FIND(AB$2,Mail!$A90)+LEN(AB$2))-FIND(AB$2,Mail!$A90)-LEN(AB$2)-1)))))</f>
        <v/>
      </c>
      <c r="AC92" s="8" t="str">
        <f>TRIM(CLEAN(IF(ISERROR(FIND(AC$2,Mail!$A90)),"",MID(Mail!$A90,FIND(AC$2,Mail!$A90)+LEN(AC$2)+1,IF(ISERROR(FIND("■",Mail!$A90,FIND(AC$2,Mail!$A90)+LEN(AC$2))-FIND(AC$2,Mail!$A90)-LEN(AC$2)),LEN(Mail!$A90)-60-FIND(AC$2,Mail!$A90)-LEN(AC$2),FIND("■",Mail!$A90,FIND(AC$2,Mail!$A90)+LEN(AC$2))-FIND(AC$2,Mail!$A90)-LEN(AC$2)-1)))))</f>
        <v/>
      </c>
      <c r="AD92" t="str">
        <f>TRIM(CLEAN(IF(ISERROR(FIND(AD$2,Mail!$A90)),"",MID(Mail!$A90,FIND(AD$2,Mail!$A90)+LEN(AD$2)+1,IF(ISERROR(FIND("■",Mail!$A90,FIND(AD$2,Mail!$A90)+LEN(AD$2))-FIND(AD$2,Mail!$A90)-LEN(AD$2)),LEN(Mail!$A90)-60-FIND(AD$2,Mail!$A90)-LEN(AD$2),FIND("■",Mail!$A90,FIND(AD$2,Mail!$A90)+LEN(AD$2))-FIND(AD$2,Mail!$A90)-LEN(AD$2)-1)))))</f>
        <v/>
      </c>
      <c r="AE92" t="str">
        <f>TRIM(CLEAN(IF(ISERROR(FIND(AE$2,Mail!$A90)),"",MID(Mail!$A90,FIND(AE$2,Mail!$A90)+LEN(AE$2)+1,IF(ISERROR(FIND("■",Mail!$A90,FIND(AE$2,Mail!$A90)+LEN(AE$2))-FIND(AE$2,Mail!$A90)-LEN(AE$2)),LEN(Mail!$A90)-60-FIND(AE$2,Mail!$A90)-LEN(AE$2),FIND("■",Mail!$A90,FIND(AE$2,Mail!$A90)+LEN(AE$2))-FIND(AE$2,Mail!$A90)-LEN(AE$2)-1)))))</f>
        <v/>
      </c>
      <c r="AF92" t="str">
        <f>TRIM(CLEAN(IF(ISERROR(FIND(AF$2,Mail!$A90)),"",MID(Mail!$A90,FIND(AF$2,Mail!$A90)+LEN(AF$2)+1,IF(ISERROR(FIND("■",Mail!$A90,FIND(AF$2,Mail!$A90)+LEN(AF$2))-FIND(AF$2,Mail!$A90)-LEN(AF$2)),LEN(Mail!$A90)-60-FIND(AF$2,Mail!$A90)-LEN(AF$2),FIND("■",Mail!$A90,FIND(AF$2,Mail!$A90)+LEN(AF$2))-FIND(AF$2,Mail!$A90)-LEN(AF$2)-1)))))</f>
        <v/>
      </c>
      <c r="AG92" t="str">
        <f>TRIM(IF(ISERROR(FIND(AG$2,Mail!$A90)),"",MID(Mail!$A90,FIND(AG$2,Mail!$A90)+LEN(AG$2)+1,IF(ISERROR(FIND("■",Mail!$A90,FIND(AG$2,Mail!$A90)+LEN(AG$2))-FIND(AG$2,Mail!$A90)-LEN(AG$2)),LEN(Mail!$A90)-60-FIND(AG$2,Mail!$A90)-LEN(AG$2),FIND("■",Mail!$A90,FIND(AG$2,Mail!$A90)+LEN(AG$2))-FIND(AG$2,Mail!$A90)-LEN(AG$2)-1))))</f>
        <v/>
      </c>
      <c r="AH92" t="str">
        <f>TRIM(IF(ISERROR(FIND(AH$2,Mail!$A90)),"",MID(Mail!$A90,FIND(AH$2,Mail!$A90)+LEN(AH$2)+1,IF(ISERROR(FIND("■",Mail!$A90,FIND(AH$2,Mail!$A90)+LEN(AH$2))-FIND(AH$2,Mail!$A90)-LEN(AH$2)),LEN(Mail!$A90)-60-FIND(AH$2,Mail!$A90)-LEN(AH$2),FIND("■",Mail!$A90,FIND(AH$2,Mail!$A90)+LEN(AH$2))-FIND(AH$2,Mail!$A90)-LEN(AH$2)-1))))</f>
        <v/>
      </c>
      <c r="AI92" t="str">
        <f>TRIM(IF(ISERROR(FIND(AI$2,Mail!$A90)),"",MID(Mail!$A90,FIND(AI$2,Mail!$A90)+LEN(AI$2)+1,IF(ISERROR(FIND("■",Mail!$A90,FIND(AI$2,Mail!$A90)+LEN(AI$2))-FIND(AI$2,Mail!$A90)-LEN(AI$2)),LEN(Mail!$A90)-60-FIND(AI$2,Mail!$A90)-LEN(AI$2),FIND("■",Mail!$A90,FIND(AI$2,Mail!$A90)+LEN(AI$2))-FIND(AI$2,Mail!$A90)-LEN(AI$2)-1))))</f>
        <v/>
      </c>
    </row>
    <row r="93" spans="1:35" x14ac:dyDescent="0.15">
      <c r="A93" s="9" t="str">
        <f t="shared" si="6"/>
        <v/>
      </c>
      <c r="B93" s="8" t="str">
        <f>CLEAN(SUBSTITUTE(IF(ISERROR(FIND("yokohama",Mail!$A91)),"",MID(Mail!$A91,FIND("yokohama",Mail!$A91)+LEN("yokohama")+1,FIND("件目",Mail!$A91,FIND("yokohama",Mail!$A91))-(FIND("yokohama",Mail!$A91)+LEN("yokohama")+1)))," ",""))</f>
        <v/>
      </c>
      <c r="C93" s="2" t="str">
        <f t="shared" si="5"/>
        <v/>
      </c>
      <c r="D93" s="9" t="str">
        <f t="shared" si="7"/>
        <v/>
      </c>
      <c r="E93" s="8" t="str">
        <f t="shared" si="8"/>
        <v/>
      </c>
      <c r="F93" t="str">
        <f>TRIM(CLEAN(IF(ISERROR(FIND(F$2,Mail!$A91)),"",MID(Mail!$A91,FIND(F$2,Mail!$A91)+LEN(F$2)+1,IF(ISERROR(FIND("■",Mail!$A91,FIND(F$2,Mail!$A91)+LEN(F$2))-FIND(F$2,Mail!$A91)-LEN(F$2)),LEN(Mail!$A91)-60-FIND(F$2,Mail!$A91)-LEN(F$2),FIND("■",Mail!$A91,FIND(F$2,Mail!$A91)+LEN(F$2))-FIND(F$2,Mail!$A91)-LEN(F$2)-1)))))</f>
        <v/>
      </c>
      <c r="G93" t="str">
        <f>TRIM(CLEAN(IF(ISERROR(FIND(G$2,Mail!$A91)),"",MID(Mail!$A91,FIND(G$2,Mail!$A91)+LEN(G$2)+1,IF(ISERROR(FIND("■",Mail!$A91,FIND(G$2,Mail!$A91)+LEN(G$2))-FIND(G$2,Mail!$A91)-LEN(G$2)),LEN(Mail!$A91)-60-FIND(G$2,Mail!$A91)-LEN(G$2),FIND("■",Mail!$A91,FIND(G$2,Mail!$A91)+LEN(G$2))-FIND(G$2,Mail!$A91)-LEN(G$2)-1)))))</f>
        <v/>
      </c>
      <c r="H93" s="8" t="str">
        <f>TRIM(CLEAN(IF(ISERROR(FIND(H$2,Mail!$A91)),"",MID(Mail!$A91,FIND(H$2,Mail!$A91)+LEN(H$2)+1,IF(ISERROR(FIND("■",Mail!$A91,FIND(H$2,Mail!$A91)+LEN(H$2))-FIND(H$2,Mail!$A91)-LEN(H$2)),LEN(Mail!$A91)-60-FIND(H$2,Mail!$A91)-LEN(H$2),FIND("■",Mail!$A91,FIND(H$2,Mail!$A91)+LEN(H$2))-FIND(H$2,Mail!$A91)-LEN(H$2)-1)))))</f>
        <v/>
      </c>
      <c r="I93" t="str">
        <f>TRIM(CLEAN(IF(ISERROR(FIND(I$2,Mail!$A91)),"",MID(Mail!$A91,FIND(I$2,Mail!$A91)+LEN(I$2)+1,IF(ISERROR(FIND("■",Mail!$A91,FIND(I$2,Mail!$A91)+LEN(I$2))-FIND(I$2,Mail!$A91)-LEN(I$2)),LEN(Mail!$A91)-60-FIND(I$2,Mail!$A91)-LEN(I$2),FIND("■",Mail!$A91,FIND(I$2,Mail!$A91)+LEN(I$2))-FIND(I$2,Mail!$A91)-LEN(I$2)-1)))))</f>
        <v/>
      </c>
      <c r="J93" t="str">
        <f>TRIM(IF(ISERROR(FIND(J$2,Mail!$A91)),"",MID(Mail!$A91,FIND(J$2,Mail!$A91)+LEN(J$2)+1,IF(ISERROR(FIND("■",Mail!$A91,FIND(J$2,Mail!$A91)+LEN(J$2))-FIND(J$2,Mail!$A91)-LEN(J$2)),LEN(Mail!$A91)-60-FIND(J$2,Mail!$A91)-LEN(J$2),FIND("■",Mail!$A91,FIND(J$2,Mail!$A91)+LEN(J$2))-FIND(J$2,Mail!$A91)-LEN(J$2)-1))))</f>
        <v/>
      </c>
      <c r="K93" t="str">
        <f>TRIM(IF(ISERROR(FIND(K$2,Mail!$A91)),"",MID(Mail!$A91,FIND(K$2,Mail!$A91)+LEN(K$2)+1,IF(ISERROR(FIND("■",Mail!$A91,FIND(K$2,Mail!$A91)+LEN(K$2))-FIND(K$2,Mail!$A91)-LEN(K$2)),LEN(Mail!$A91)-60-FIND(K$2,Mail!$A91)-LEN(K$2),FIND("■",Mail!$A91,FIND(K$2,Mail!$A91)+LEN(K$2))-FIND(K$2,Mail!$A91)-LEN(K$2)-1))))</f>
        <v/>
      </c>
      <c r="L93" t="str">
        <f>TRIM(IF(ISERROR(FIND(L$2,Mail!$A91)),"",MID(Mail!$A91,FIND(L$2,Mail!$A91)+LEN(L$2)+1,IF(ISERROR(FIND("■",Mail!$A91,FIND(L$2,Mail!$A91)+LEN(L$2))-FIND(L$2,Mail!$A91)-LEN(L$2)),LEN(Mail!$A91)-60-FIND(L$2,Mail!$A91)-LEN(L$2),FIND("■",Mail!$A91,FIND(L$2,Mail!$A91)+LEN(L$2))-FIND(L$2,Mail!$A91)-LEN(L$2)-1))))</f>
        <v/>
      </c>
      <c r="M93" t="str">
        <f>TRIM(CLEAN(IF(ISERROR(FIND(M$2,Mail!$A91)),"",MID(Mail!$A91,FIND(M$2,Mail!$A91)+LEN(M$2)+1,IF(ISERROR(FIND("■",Mail!$A91,FIND(M$2,Mail!$A91)+LEN(M$2))-FIND(M$2,Mail!$A91)-LEN(M$2)),LEN(Mail!$A91)-60-FIND(M$2,Mail!$A91)-LEN(M$2),FIND("■",Mail!$A91,FIND(M$2,Mail!$A91)+LEN(M$2))-FIND(M$2,Mail!$A91)-LEN(M$2)-1)))))</f>
        <v/>
      </c>
      <c r="N93" t="str">
        <f>TRIM(CLEAN(IF(ISERROR(FIND(N$2,Mail!$A91)),"",MID(Mail!$A91,FIND(N$2,Mail!$A91)+LEN(N$2)+1,IF(ISERROR(FIND("■",Mail!$A91,FIND(N$2,Mail!$A91)+LEN(N$2))-FIND(N$2,Mail!$A91)-LEN(N$2)),LEN(Mail!$A91)-60-FIND(N$2,Mail!$A91)-LEN(N$2),FIND("■",Mail!$A91,FIND(N$2,Mail!$A91)+LEN(N$2))-FIND(N$2,Mail!$A91)-LEN(N$2)-1)))))</f>
        <v/>
      </c>
      <c r="O93" t="str">
        <f>TRIM(CLEAN(IF(ISERROR(FIND(O$2,Mail!$A91)),"",MID(Mail!$A91,FIND(O$2,Mail!$A91)+LEN(O$2)+1,IF(ISERROR(FIND("■",Mail!$A91,FIND(O$2,Mail!$A91)+LEN(O$2))-FIND(O$2,Mail!$A91)-LEN(O$2)),LEN(Mail!$A91)-60-FIND(O$2,Mail!$A91)-LEN(O$2),FIND("■",Mail!$A91,FIND(O$2,Mail!$A91)+LEN(O$2))-FIND(O$2,Mail!$A91)-LEN(O$2)-1)))))</f>
        <v/>
      </c>
      <c r="P93" t="str">
        <f>TRIM(CLEAN(IF(ISERROR(FIND(P$2,Mail!$A91)),"",MID(Mail!$A91,FIND(P$2,Mail!$A91)+LEN(P$2)+1,IF(ISERROR(FIND("■",Mail!$A91,FIND(P$2,Mail!$A91)+LEN(P$2))-FIND(P$2,Mail!$A91)-LEN(P$2)),LEN(Mail!$A91)-60-FIND(P$2,Mail!$A91)-LEN(P$2),FIND("■",Mail!$A91,FIND(P$2,Mail!$A91)+LEN(P$2))-FIND(P$2,Mail!$A91)-LEN(P$2)-1)))))</f>
        <v/>
      </c>
      <c r="Q93" t="str">
        <f>TRIM(CLEAN(IF(ISERROR(FIND(Q$2,Mail!$A91)),"",MID(Mail!$A91,FIND(Q$2,Mail!$A91)+LEN(Q$2)+1,IF(ISERROR(FIND("■",Mail!$A91,FIND(Q$2,Mail!$A91)+LEN(Q$2))-FIND(Q$2,Mail!$A91)-LEN(Q$2)),LEN(Mail!$A91)-60-FIND(Q$2,Mail!$A91)-LEN(Q$2),FIND("■",Mail!$A91,FIND(Q$2,Mail!$A91)+LEN(Q$2))-FIND(Q$2,Mail!$A91)-LEN(Q$2)-1)))))</f>
        <v/>
      </c>
      <c r="R93" s="8" t="str">
        <f>TRIM(CLEAN(IF(ISERROR(FIND(R$2,Mail!$A91)),"",MID(Mail!$A91,FIND(R$2,Mail!$A91)+LEN(R$2)+1,IF(ISERROR(FIND("■",Mail!$A91,FIND(R$2,Mail!$A91)+LEN(R$2))-FIND(R$2,Mail!$A91)-LEN(R$2)),LEN(Mail!$A91)-60-FIND(R$2,Mail!$A91)-LEN(R$2),FIND("■",Mail!$A91,FIND(R$2,Mail!$A91)+LEN(R$2))-FIND(R$2,Mail!$A91)-LEN(R$2)-1)))))</f>
        <v/>
      </c>
      <c r="S93" t="str">
        <f>TRIM(CLEAN(IF(ISERROR(FIND(S$2,Mail!$A91)),"",MID(Mail!$A91,FIND(S$2,Mail!$A91)+LEN(S$2)+1,IF(ISERROR(FIND("■",Mail!$A91,FIND(S$2,Mail!$A91)+LEN(S$2))-FIND(S$2,Mail!$A91)-LEN(S$2)),LEN(Mail!$A91)-60-FIND(S$2,Mail!$A91)-LEN(S$2),FIND("■",Mail!$A91,FIND(S$2,Mail!$A91)+LEN(S$2))-FIND(S$2,Mail!$A91)-LEN(S$2)-1)))))</f>
        <v/>
      </c>
      <c r="T93" t="str">
        <f>TRIM(CLEAN(IF(ISERROR(FIND(T$2,Mail!$A91)),"",MID(Mail!$A91,FIND(T$2,Mail!$A91)+LEN(T$2)+1,IF(ISERROR(FIND("■",Mail!$A91,FIND(T$2,Mail!$A91)+LEN(T$2))-FIND(T$2,Mail!$A91)-LEN(T$2)),LEN(Mail!$A91)-60-FIND(T$2,Mail!$A91)-LEN(T$2),FIND("■",Mail!$A91,FIND(T$2,Mail!$A91)+LEN(T$2))-FIND(T$2,Mail!$A91)-LEN(T$2)-1)))))</f>
        <v/>
      </c>
      <c r="U93" t="str">
        <f>TRIM(CLEAN(IF(ISERROR(FIND(U$2,Mail!$A91)),"",MID(Mail!$A91,FIND(U$2,Mail!$A91)+LEN(U$2)+1,IF(ISERROR(FIND("■",Mail!$A91,FIND(U$2,Mail!$A91)+LEN(U$2))-FIND(U$2,Mail!$A91)-LEN(U$2)),LEN(Mail!$A91)-60-FIND(U$2,Mail!$A91)-LEN(U$2),FIND("■",Mail!$A91,FIND(U$2,Mail!$A91)+LEN(U$2))-FIND(U$2,Mail!$A91)-LEN(U$2)-1)))))</f>
        <v/>
      </c>
      <c r="V93" t="str">
        <f>TRIM(CLEAN(IF(ISERROR(FIND(V$2,Mail!$A91)),"",MID(Mail!$A91,FIND(V$2,Mail!$A91)+LEN(V$2)+1,IF(ISERROR(FIND("■",Mail!$A91,FIND(V$2,Mail!$A91)+LEN(V$2))-FIND(V$2,Mail!$A91)-LEN(V$2)),LEN(Mail!$A91)-60-FIND(V$2,Mail!$A91)-LEN(V$2),FIND("■",Mail!$A91,FIND(V$2,Mail!$A91)+LEN(V$2))-FIND(V$2,Mail!$A91)-LEN(V$2)-1)))))</f>
        <v/>
      </c>
      <c r="W93" t="str">
        <f>TRIM(CLEAN(IF(ISERROR(FIND(W$2,Mail!$A91)),"",MID(Mail!$A91,FIND(W$2,Mail!$A91)+LEN(W$2)+1,IF(ISERROR(FIND("■",Mail!$A91,FIND(W$2,Mail!$A91)+LEN(W$2))-FIND(W$2,Mail!$A91)-LEN(W$2)),LEN(Mail!$A91)-60-FIND(W$2,Mail!$A91)-LEN(W$2),FIND("■",Mail!$A91,FIND(W$2,Mail!$A91)+LEN(W$2))-FIND(W$2,Mail!$A91)-LEN(W$2)-1)))))</f>
        <v/>
      </c>
      <c r="X93" t="str">
        <f>TRIM(IF(ISERROR(FIND(X$2,Mail!$A91)),"",MID(Mail!$A91,FIND(X$2,Mail!$A91)+LEN(X$2)+1,IF(ISERROR(FIND("■",Mail!$A91,FIND(X$2,Mail!$A91)+LEN(X$2))-FIND(X$2,Mail!$A91)-LEN(X$2)),LEN(Mail!$A91)-60-FIND(X$2,Mail!$A91)-LEN(X$2),FIND("■",Mail!$A91,FIND(X$2,Mail!$A91)+LEN(X$2))-FIND(X$2,Mail!$A91)-LEN(X$2)-1))))</f>
        <v/>
      </c>
      <c r="Y93" t="str">
        <f>TRIM(CLEAN(IF(ISERROR(FIND(Y$2,Mail!$A91)),"",MID(Mail!$A91,FIND(Y$2,Mail!$A91)+LEN(Y$2)+1,IF(ISERROR(FIND("■",Mail!$A91,FIND(Y$2,Mail!$A91)+LEN(Y$2))-FIND(Y$2,Mail!$A91)-LEN(Y$2)),LEN(Mail!$A91)-60-FIND(Y$2,Mail!$A91)-LEN(Y$2),FIND("■",Mail!$A91,FIND(Y$2,Mail!$A91)+LEN(Y$2))-FIND(Y$2,Mail!$A91)-LEN(Y$2)-1)))))</f>
        <v/>
      </c>
      <c r="Z93" t="str">
        <f>TRIM(CLEAN(IF(ISERROR(FIND(Z$2,Mail!$A91)),"",MID(Mail!$A91,FIND(Z$2,Mail!$A91)+LEN(Z$2)+1,IF(ISERROR(FIND("■",Mail!$A91,FIND(Z$2,Mail!$A91)+LEN(Z$2))-FIND(Z$2,Mail!$A91)-LEN(Z$2)),LEN(Mail!$A91)-60-FIND(Z$2,Mail!$A91)-LEN(Z$2),FIND("■",Mail!$A91,FIND(Z$2,Mail!$A91)+LEN(Z$2))-FIND(Z$2,Mail!$A91)-LEN(Z$2)-1)))))</f>
        <v/>
      </c>
      <c r="AA93" t="str">
        <f>TRIM(CLEAN(IF(ISERROR(FIND(AA$2,Mail!$A91)),"",MID(Mail!$A91,FIND(AA$2,Mail!$A91)+LEN(AA$2)+1,IF(ISERROR(FIND("■",Mail!$A91,FIND(AA$2,Mail!$A91)+LEN(AA$2))-FIND(AA$2,Mail!$A91)-LEN(AA$2)),LEN(Mail!$A91)-60-FIND(AA$2,Mail!$A91)-LEN(AA$2),FIND("■",Mail!$A91,FIND(AA$2,Mail!$A91)+LEN(AA$2))-FIND(AA$2,Mail!$A91)-LEN(AA$2)-1)))))</f>
        <v/>
      </c>
      <c r="AB93" t="str">
        <f>TRIM(CLEAN(IF(ISERROR(FIND(AB$2,Mail!$A91)),"",MID(Mail!$A91,FIND(AB$2,Mail!$A91)+LEN(AB$2)+1,IF(ISERROR(FIND("■",Mail!$A91,FIND(AB$2,Mail!$A91)+LEN(AB$2))-FIND(AB$2,Mail!$A91)-LEN(AB$2)),LEN(Mail!$A91)-60-FIND(AB$2,Mail!$A91)-LEN(AB$2),FIND("■",Mail!$A91,FIND(AB$2,Mail!$A91)+LEN(AB$2))-FIND(AB$2,Mail!$A91)-LEN(AB$2)-1)))))</f>
        <v/>
      </c>
      <c r="AC93" s="8" t="str">
        <f>TRIM(CLEAN(IF(ISERROR(FIND(AC$2,Mail!$A91)),"",MID(Mail!$A91,FIND(AC$2,Mail!$A91)+LEN(AC$2)+1,IF(ISERROR(FIND("■",Mail!$A91,FIND(AC$2,Mail!$A91)+LEN(AC$2))-FIND(AC$2,Mail!$A91)-LEN(AC$2)),LEN(Mail!$A91)-60-FIND(AC$2,Mail!$A91)-LEN(AC$2),FIND("■",Mail!$A91,FIND(AC$2,Mail!$A91)+LEN(AC$2))-FIND(AC$2,Mail!$A91)-LEN(AC$2)-1)))))</f>
        <v/>
      </c>
      <c r="AD93" t="str">
        <f>TRIM(CLEAN(IF(ISERROR(FIND(AD$2,Mail!$A91)),"",MID(Mail!$A91,FIND(AD$2,Mail!$A91)+LEN(AD$2)+1,IF(ISERROR(FIND("■",Mail!$A91,FIND(AD$2,Mail!$A91)+LEN(AD$2))-FIND(AD$2,Mail!$A91)-LEN(AD$2)),LEN(Mail!$A91)-60-FIND(AD$2,Mail!$A91)-LEN(AD$2),FIND("■",Mail!$A91,FIND(AD$2,Mail!$A91)+LEN(AD$2))-FIND(AD$2,Mail!$A91)-LEN(AD$2)-1)))))</f>
        <v/>
      </c>
      <c r="AE93" t="str">
        <f>TRIM(CLEAN(IF(ISERROR(FIND(AE$2,Mail!$A91)),"",MID(Mail!$A91,FIND(AE$2,Mail!$A91)+LEN(AE$2)+1,IF(ISERROR(FIND("■",Mail!$A91,FIND(AE$2,Mail!$A91)+LEN(AE$2))-FIND(AE$2,Mail!$A91)-LEN(AE$2)),LEN(Mail!$A91)-60-FIND(AE$2,Mail!$A91)-LEN(AE$2),FIND("■",Mail!$A91,FIND(AE$2,Mail!$A91)+LEN(AE$2))-FIND(AE$2,Mail!$A91)-LEN(AE$2)-1)))))</f>
        <v/>
      </c>
      <c r="AF93" t="str">
        <f>TRIM(CLEAN(IF(ISERROR(FIND(AF$2,Mail!$A91)),"",MID(Mail!$A91,FIND(AF$2,Mail!$A91)+LEN(AF$2)+1,IF(ISERROR(FIND("■",Mail!$A91,FIND(AF$2,Mail!$A91)+LEN(AF$2))-FIND(AF$2,Mail!$A91)-LEN(AF$2)),LEN(Mail!$A91)-60-FIND(AF$2,Mail!$A91)-LEN(AF$2),FIND("■",Mail!$A91,FIND(AF$2,Mail!$A91)+LEN(AF$2))-FIND(AF$2,Mail!$A91)-LEN(AF$2)-1)))))</f>
        <v/>
      </c>
      <c r="AG93" t="str">
        <f>TRIM(IF(ISERROR(FIND(AG$2,Mail!$A91)),"",MID(Mail!$A91,FIND(AG$2,Mail!$A91)+LEN(AG$2)+1,IF(ISERROR(FIND("■",Mail!$A91,FIND(AG$2,Mail!$A91)+LEN(AG$2))-FIND(AG$2,Mail!$A91)-LEN(AG$2)),LEN(Mail!$A91)-60-FIND(AG$2,Mail!$A91)-LEN(AG$2),FIND("■",Mail!$A91,FIND(AG$2,Mail!$A91)+LEN(AG$2))-FIND(AG$2,Mail!$A91)-LEN(AG$2)-1))))</f>
        <v/>
      </c>
      <c r="AH93" t="str">
        <f>TRIM(IF(ISERROR(FIND(AH$2,Mail!$A91)),"",MID(Mail!$A91,FIND(AH$2,Mail!$A91)+LEN(AH$2)+1,IF(ISERROR(FIND("■",Mail!$A91,FIND(AH$2,Mail!$A91)+LEN(AH$2))-FIND(AH$2,Mail!$A91)-LEN(AH$2)),LEN(Mail!$A91)-60-FIND(AH$2,Mail!$A91)-LEN(AH$2),FIND("■",Mail!$A91,FIND(AH$2,Mail!$A91)+LEN(AH$2))-FIND(AH$2,Mail!$A91)-LEN(AH$2)-1))))</f>
        <v/>
      </c>
      <c r="AI93" t="str">
        <f>TRIM(IF(ISERROR(FIND(AI$2,Mail!$A91)),"",MID(Mail!$A91,FIND(AI$2,Mail!$A91)+LEN(AI$2)+1,IF(ISERROR(FIND("■",Mail!$A91,FIND(AI$2,Mail!$A91)+LEN(AI$2))-FIND(AI$2,Mail!$A91)-LEN(AI$2)),LEN(Mail!$A91)-60-FIND(AI$2,Mail!$A91)-LEN(AI$2),FIND("■",Mail!$A91,FIND(AI$2,Mail!$A91)+LEN(AI$2))-FIND(AI$2,Mail!$A91)-LEN(AI$2)-1))))</f>
        <v/>
      </c>
    </row>
    <row r="94" spans="1:35" x14ac:dyDescent="0.15">
      <c r="A94" s="9" t="str">
        <f t="shared" si="6"/>
        <v/>
      </c>
      <c r="B94" s="8" t="str">
        <f>CLEAN(SUBSTITUTE(IF(ISERROR(FIND("yokohama",Mail!$A92)),"",MID(Mail!$A92,FIND("yokohama",Mail!$A92)+LEN("yokohama")+1,FIND("件目",Mail!$A92,FIND("yokohama",Mail!$A92))-(FIND("yokohama",Mail!$A92)+LEN("yokohama")+1)))," ",""))</f>
        <v/>
      </c>
      <c r="C94" s="2" t="str">
        <f t="shared" si="5"/>
        <v/>
      </c>
      <c r="D94" s="9" t="str">
        <f t="shared" si="7"/>
        <v/>
      </c>
      <c r="E94" s="8" t="str">
        <f t="shared" si="8"/>
        <v/>
      </c>
      <c r="F94" t="str">
        <f>TRIM(CLEAN(IF(ISERROR(FIND(F$2,Mail!$A92)),"",MID(Mail!$A92,FIND(F$2,Mail!$A92)+LEN(F$2)+1,IF(ISERROR(FIND("■",Mail!$A92,FIND(F$2,Mail!$A92)+LEN(F$2))-FIND(F$2,Mail!$A92)-LEN(F$2)),LEN(Mail!$A92)-60-FIND(F$2,Mail!$A92)-LEN(F$2),FIND("■",Mail!$A92,FIND(F$2,Mail!$A92)+LEN(F$2))-FIND(F$2,Mail!$A92)-LEN(F$2)-1)))))</f>
        <v/>
      </c>
      <c r="G94" t="str">
        <f>TRIM(CLEAN(IF(ISERROR(FIND(G$2,Mail!$A92)),"",MID(Mail!$A92,FIND(G$2,Mail!$A92)+LEN(G$2)+1,IF(ISERROR(FIND("■",Mail!$A92,FIND(G$2,Mail!$A92)+LEN(G$2))-FIND(G$2,Mail!$A92)-LEN(G$2)),LEN(Mail!$A92)-60-FIND(G$2,Mail!$A92)-LEN(G$2),FIND("■",Mail!$A92,FIND(G$2,Mail!$A92)+LEN(G$2))-FIND(G$2,Mail!$A92)-LEN(G$2)-1)))))</f>
        <v/>
      </c>
      <c r="H94" s="8" t="str">
        <f>TRIM(CLEAN(IF(ISERROR(FIND(H$2,Mail!$A92)),"",MID(Mail!$A92,FIND(H$2,Mail!$A92)+LEN(H$2)+1,IF(ISERROR(FIND("■",Mail!$A92,FIND(H$2,Mail!$A92)+LEN(H$2))-FIND(H$2,Mail!$A92)-LEN(H$2)),LEN(Mail!$A92)-60-FIND(H$2,Mail!$A92)-LEN(H$2),FIND("■",Mail!$A92,FIND(H$2,Mail!$A92)+LEN(H$2))-FIND(H$2,Mail!$A92)-LEN(H$2)-1)))))</f>
        <v/>
      </c>
      <c r="I94" t="str">
        <f>TRIM(CLEAN(IF(ISERROR(FIND(I$2,Mail!$A92)),"",MID(Mail!$A92,FIND(I$2,Mail!$A92)+LEN(I$2)+1,IF(ISERROR(FIND("■",Mail!$A92,FIND(I$2,Mail!$A92)+LEN(I$2))-FIND(I$2,Mail!$A92)-LEN(I$2)),LEN(Mail!$A92)-60-FIND(I$2,Mail!$A92)-LEN(I$2),FIND("■",Mail!$A92,FIND(I$2,Mail!$A92)+LEN(I$2))-FIND(I$2,Mail!$A92)-LEN(I$2)-1)))))</f>
        <v/>
      </c>
      <c r="J94" t="str">
        <f>TRIM(IF(ISERROR(FIND(J$2,Mail!$A92)),"",MID(Mail!$A92,FIND(J$2,Mail!$A92)+LEN(J$2)+1,IF(ISERROR(FIND("■",Mail!$A92,FIND(J$2,Mail!$A92)+LEN(J$2))-FIND(J$2,Mail!$A92)-LEN(J$2)),LEN(Mail!$A92)-60-FIND(J$2,Mail!$A92)-LEN(J$2),FIND("■",Mail!$A92,FIND(J$2,Mail!$A92)+LEN(J$2))-FIND(J$2,Mail!$A92)-LEN(J$2)-1))))</f>
        <v/>
      </c>
      <c r="K94" t="str">
        <f>TRIM(IF(ISERROR(FIND(K$2,Mail!$A92)),"",MID(Mail!$A92,FIND(K$2,Mail!$A92)+LEN(K$2)+1,IF(ISERROR(FIND("■",Mail!$A92,FIND(K$2,Mail!$A92)+LEN(K$2))-FIND(K$2,Mail!$A92)-LEN(K$2)),LEN(Mail!$A92)-60-FIND(K$2,Mail!$A92)-LEN(K$2),FIND("■",Mail!$A92,FIND(K$2,Mail!$A92)+LEN(K$2))-FIND(K$2,Mail!$A92)-LEN(K$2)-1))))</f>
        <v/>
      </c>
      <c r="L94" t="str">
        <f>TRIM(IF(ISERROR(FIND(L$2,Mail!$A92)),"",MID(Mail!$A92,FIND(L$2,Mail!$A92)+LEN(L$2)+1,IF(ISERROR(FIND("■",Mail!$A92,FIND(L$2,Mail!$A92)+LEN(L$2))-FIND(L$2,Mail!$A92)-LEN(L$2)),LEN(Mail!$A92)-60-FIND(L$2,Mail!$A92)-LEN(L$2),FIND("■",Mail!$A92,FIND(L$2,Mail!$A92)+LEN(L$2))-FIND(L$2,Mail!$A92)-LEN(L$2)-1))))</f>
        <v/>
      </c>
      <c r="M94" t="str">
        <f>TRIM(CLEAN(IF(ISERROR(FIND(M$2,Mail!$A92)),"",MID(Mail!$A92,FIND(M$2,Mail!$A92)+LEN(M$2)+1,IF(ISERROR(FIND("■",Mail!$A92,FIND(M$2,Mail!$A92)+LEN(M$2))-FIND(M$2,Mail!$A92)-LEN(M$2)),LEN(Mail!$A92)-60-FIND(M$2,Mail!$A92)-LEN(M$2),FIND("■",Mail!$A92,FIND(M$2,Mail!$A92)+LEN(M$2))-FIND(M$2,Mail!$A92)-LEN(M$2)-1)))))</f>
        <v/>
      </c>
      <c r="N94" t="str">
        <f>TRIM(CLEAN(IF(ISERROR(FIND(N$2,Mail!$A92)),"",MID(Mail!$A92,FIND(N$2,Mail!$A92)+LEN(N$2)+1,IF(ISERROR(FIND("■",Mail!$A92,FIND(N$2,Mail!$A92)+LEN(N$2))-FIND(N$2,Mail!$A92)-LEN(N$2)),LEN(Mail!$A92)-60-FIND(N$2,Mail!$A92)-LEN(N$2),FIND("■",Mail!$A92,FIND(N$2,Mail!$A92)+LEN(N$2))-FIND(N$2,Mail!$A92)-LEN(N$2)-1)))))</f>
        <v/>
      </c>
      <c r="O94" t="str">
        <f>TRIM(CLEAN(IF(ISERROR(FIND(O$2,Mail!$A92)),"",MID(Mail!$A92,FIND(O$2,Mail!$A92)+LEN(O$2)+1,IF(ISERROR(FIND("■",Mail!$A92,FIND(O$2,Mail!$A92)+LEN(O$2))-FIND(O$2,Mail!$A92)-LEN(O$2)),LEN(Mail!$A92)-60-FIND(O$2,Mail!$A92)-LEN(O$2),FIND("■",Mail!$A92,FIND(O$2,Mail!$A92)+LEN(O$2))-FIND(O$2,Mail!$A92)-LEN(O$2)-1)))))</f>
        <v/>
      </c>
      <c r="P94" t="str">
        <f>TRIM(CLEAN(IF(ISERROR(FIND(P$2,Mail!$A92)),"",MID(Mail!$A92,FIND(P$2,Mail!$A92)+LEN(P$2)+1,IF(ISERROR(FIND("■",Mail!$A92,FIND(P$2,Mail!$A92)+LEN(P$2))-FIND(P$2,Mail!$A92)-LEN(P$2)),LEN(Mail!$A92)-60-FIND(P$2,Mail!$A92)-LEN(P$2),FIND("■",Mail!$A92,FIND(P$2,Mail!$A92)+LEN(P$2))-FIND(P$2,Mail!$A92)-LEN(P$2)-1)))))</f>
        <v/>
      </c>
      <c r="Q94" t="str">
        <f>TRIM(CLEAN(IF(ISERROR(FIND(Q$2,Mail!$A92)),"",MID(Mail!$A92,FIND(Q$2,Mail!$A92)+LEN(Q$2)+1,IF(ISERROR(FIND("■",Mail!$A92,FIND(Q$2,Mail!$A92)+LEN(Q$2))-FIND(Q$2,Mail!$A92)-LEN(Q$2)),LEN(Mail!$A92)-60-FIND(Q$2,Mail!$A92)-LEN(Q$2),FIND("■",Mail!$A92,FIND(Q$2,Mail!$A92)+LEN(Q$2))-FIND(Q$2,Mail!$A92)-LEN(Q$2)-1)))))</f>
        <v/>
      </c>
      <c r="R94" s="8" t="str">
        <f>TRIM(CLEAN(IF(ISERROR(FIND(R$2,Mail!$A92)),"",MID(Mail!$A92,FIND(R$2,Mail!$A92)+LEN(R$2)+1,IF(ISERROR(FIND("■",Mail!$A92,FIND(R$2,Mail!$A92)+LEN(R$2))-FIND(R$2,Mail!$A92)-LEN(R$2)),LEN(Mail!$A92)-60-FIND(R$2,Mail!$A92)-LEN(R$2),FIND("■",Mail!$A92,FIND(R$2,Mail!$A92)+LEN(R$2))-FIND(R$2,Mail!$A92)-LEN(R$2)-1)))))</f>
        <v/>
      </c>
      <c r="S94" t="str">
        <f>TRIM(CLEAN(IF(ISERROR(FIND(S$2,Mail!$A92)),"",MID(Mail!$A92,FIND(S$2,Mail!$A92)+LEN(S$2)+1,IF(ISERROR(FIND("■",Mail!$A92,FIND(S$2,Mail!$A92)+LEN(S$2))-FIND(S$2,Mail!$A92)-LEN(S$2)),LEN(Mail!$A92)-60-FIND(S$2,Mail!$A92)-LEN(S$2),FIND("■",Mail!$A92,FIND(S$2,Mail!$A92)+LEN(S$2))-FIND(S$2,Mail!$A92)-LEN(S$2)-1)))))</f>
        <v/>
      </c>
      <c r="T94" t="str">
        <f>TRIM(CLEAN(IF(ISERROR(FIND(T$2,Mail!$A92)),"",MID(Mail!$A92,FIND(T$2,Mail!$A92)+LEN(T$2)+1,IF(ISERROR(FIND("■",Mail!$A92,FIND(T$2,Mail!$A92)+LEN(T$2))-FIND(T$2,Mail!$A92)-LEN(T$2)),LEN(Mail!$A92)-60-FIND(T$2,Mail!$A92)-LEN(T$2),FIND("■",Mail!$A92,FIND(T$2,Mail!$A92)+LEN(T$2))-FIND(T$2,Mail!$A92)-LEN(T$2)-1)))))</f>
        <v/>
      </c>
      <c r="U94" t="str">
        <f>TRIM(CLEAN(IF(ISERROR(FIND(U$2,Mail!$A92)),"",MID(Mail!$A92,FIND(U$2,Mail!$A92)+LEN(U$2)+1,IF(ISERROR(FIND("■",Mail!$A92,FIND(U$2,Mail!$A92)+LEN(U$2))-FIND(U$2,Mail!$A92)-LEN(U$2)),LEN(Mail!$A92)-60-FIND(U$2,Mail!$A92)-LEN(U$2),FIND("■",Mail!$A92,FIND(U$2,Mail!$A92)+LEN(U$2))-FIND(U$2,Mail!$A92)-LEN(U$2)-1)))))</f>
        <v/>
      </c>
      <c r="V94" t="str">
        <f>TRIM(CLEAN(IF(ISERROR(FIND(V$2,Mail!$A92)),"",MID(Mail!$A92,FIND(V$2,Mail!$A92)+LEN(V$2)+1,IF(ISERROR(FIND("■",Mail!$A92,FIND(V$2,Mail!$A92)+LEN(V$2))-FIND(V$2,Mail!$A92)-LEN(V$2)),LEN(Mail!$A92)-60-FIND(V$2,Mail!$A92)-LEN(V$2),FIND("■",Mail!$A92,FIND(V$2,Mail!$A92)+LEN(V$2))-FIND(V$2,Mail!$A92)-LEN(V$2)-1)))))</f>
        <v/>
      </c>
      <c r="W94" t="str">
        <f>TRIM(CLEAN(IF(ISERROR(FIND(W$2,Mail!$A92)),"",MID(Mail!$A92,FIND(W$2,Mail!$A92)+LEN(W$2)+1,IF(ISERROR(FIND("■",Mail!$A92,FIND(W$2,Mail!$A92)+LEN(W$2))-FIND(W$2,Mail!$A92)-LEN(W$2)),LEN(Mail!$A92)-60-FIND(W$2,Mail!$A92)-LEN(W$2),FIND("■",Mail!$A92,FIND(W$2,Mail!$A92)+LEN(W$2))-FIND(W$2,Mail!$A92)-LEN(W$2)-1)))))</f>
        <v/>
      </c>
      <c r="X94" t="str">
        <f>TRIM(IF(ISERROR(FIND(X$2,Mail!$A92)),"",MID(Mail!$A92,FIND(X$2,Mail!$A92)+LEN(X$2)+1,IF(ISERROR(FIND("■",Mail!$A92,FIND(X$2,Mail!$A92)+LEN(X$2))-FIND(X$2,Mail!$A92)-LEN(X$2)),LEN(Mail!$A92)-60-FIND(X$2,Mail!$A92)-LEN(X$2),FIND("■",Mail!$A92,FIND(X$2,Mail!$A92)+LEN(X$2))-FIND(X$2,Mail!$A92)-LEN(X$2)-1))))</f>
        <v/>
      </c>
      <c r="Y94" t="str">
        <f>TRIM(CLEAN(IF(ISERROR(FIND(Y$2,Mail!$A92)),"",MID(Mail!$A92,FIND(Y$2,Mail!$A92)+LEN(Y$2)+1,IF(ISERROR(FIND("■",Mail!$A92,FIND(Y$2,Mail!$A92)+LEN(Y$2))-FIND(Y$2,Mail!$A92)-LEN(Y$2)),LEN(Mail!$A92)-60-FIND(Y$2,Mail!$A92)-LEN(Y$2),FIND("■",Mail!$A92,FIND(Y$2,Mail!$A92)+LEN(Y$2))-FIND(Y$2,Mail!$A92)-LEN(Y$2)-1)))))</f>
        <v/>
      </c>
      <c r="Z94" t="str">
        <f>TRIM(CLEAN(IF(ISERROR(FIND(Z$2,Mail!$A92)),"",MID(Mail!$A92,FIND(Z$2,Mail!$A92)+LEN(Z$2)+1,IF(ISERROR(FIND("■",Mail!$A92,FIND(Z$2,Mail!$A92)+LEN(Z$2))-FIND(Z$2,Mail!$A92)-LEN(Z$2)),LEN(Mail!$A92)-60-FIND(Z$2,Mail!$A92)-LEN(Z$2),FIND("■",Mail!$A92,FIND(Z$2,Mail!$A92)+LEN(Z$2))-FIND(Z$2,Mail!$A92)-LEN(Z$2)-1)))))</f>
        <v/>
      </c>
      <c r="AA94" t="str">
        <f>TRIM(CLEAN(IF(ISERROR(FIND(AA$2,Mail!$A92)),"",MID(Mail!$A92,FIND(AA$2,Mail!$A92)+LEN(AA$2)+1,IF(ISERROR(FIND("■",Mail!$A92,FIND(AA$2,Mail!$A92)+LEN(AA$2))-FIND(AA$2,Mail!$A92)-LEN(AA$2)),LEN(Mail!$A92)-60-FIND(AA$2,Mail!$A92)-LEN(AA$2),FIND("■",Mail!$A92,FIND(AA$2,Mail!$A92)+LEN(AA$2))-FIND(AA$2,Mail!$A92)-LEN(AA$2)-1)))))</f>
        <v/>
      </c>
      <c r="AB94" t="str">
        <f>TRIM(CLEAN(IF(ISERROR(FIND(AB$2,Mail!$A92)),"",MID(Mail!$A92,FIND(AB$2,Mail!$A92)+LEN(AB$2)+1,IF(ISERROR(FIND("■",Mail!$A92,FIND(AB$2,Mail!$A92)+LEN(AB$2))-FIND(AB$2,Mail!$A92)-LEN(AB$2)),LEN(Mail!$A92)-60-FIND(AB$2,Mail!$A92)-LEN(AB$2),FIND("■",Mail!$A92,FIND(AB$2,Mail!$A92)+LEN(AB$2))-FIND(AB$2,Mail!$A92)-LEN(AB$2)-1)))))</f>
        <v/>
      </c>
      <c r="AC94" s="8" t="str">
        <f>TRIM(CLEAN(IF(ISERROR(FIND(AC$2,Mail!$A92)),"",MID(Mail!$A92,FIND(AC$2,Mail!$A92)+LEN(AC$2)+1,IF(ISERROR(FIND("■",Mail!$A92,FIND(AC$2,Mail!$A92)+LEN(AC$2))-FIND(AC$2,Mail!$A92)-LEN(AC$2)),LEN(Mail!$A92)-60-FIND(AC$2,Mail!$A92)-LEN(AC$2),FIND("■",Mail!$A92,FIND(AC$2,Mail!$A92)+LEN(AC$2))-FIND(AC$2,Mail!$A92)-LEN(AC$2)-1)))))</f>
        <v/>
      </c>
      <c r="AD94" t="str">
        <f>TRIM(CLEAN(IF(ISERROR(FIND(AD$2,Mail!$A92)),"",MID(Mail!$A92,FIND(AD$2,Mail!$A92)+LEN(AD$2)+1,IF(ISERROR(FIND("■",Mail!$A92,FIND(AD$2,Mail!$A92)+LEN(AD$2))-FIND(AD$2,Mail!$A92)-LEN(AD$2)),LEN(Mail!$A92)-60-FIND(AD$2,Mail!$A92)-LEN(AD$2),FIND("■",Mail!$A92,FIND(AD$2,Mail!$A92)+LEN(AD$2))-FIND(AD$2,Mail!$A92)-LEN(AD$2)-1)))))</f>
        <v/>
      </c>
      <c r="AE94" t="str">
        <f>TRIM(CLEAN(IF(ISERROR(FIND(AE$2,Mail!$A92)),"",MID(Mail!$A92,FIND(AE$2,Mail!$A92)+LEN(AE$2)+1,IF(ISERROR(FIND("■",Mail!$A92,FIND(AE$2,Mail!$A92)+LEN(AE$2))-FIND(AE$2,Mail!$A92)-LEN(AE$2)),LEN(Mail!$A92)-60-FIND(AE$2,Mail!$A92)-LEN(AE$2),FIND("■",Mail!$A92,FIND(AE$2,Mail!$A92)+LEN(AE$2))-FIND(AE$2,Mail!$A92)-LEN(AE$2)-1)))))</f>
        <v/>
      </c>
      <c r="AF94" t="str">
        <f>TRIM(CLEAN(IF(ISERROR(FIND(AF$2,Mail!$A92)),"",MID(Mail!$A92,FIND(AF$2,Mail!$A92)+LEN(AF$2)+1,IF(ISERROR(FIND("■",Mail!$A92,FIND(AF$2,Mail!$A92)+LEN(AF$2))-FIND(AF$2,Mail!$A92)-LEN(AF$2)),LEN(Mail!$A92)-60-FIND(AF$2,Mail!$A92)-LEN(AF$2),FIND("■",Mail!$A92,FIND(AF$2,Mail!$A92)+LEN(AF$2))-FIND(AF$2,Mail!$A92)-LEN(AF$2)-1)))))</f>
        <v/>
      </c>
      <c r="AG94" t="str">
        <f>TRIM(IF(ISERROR(FIND(AG$2,Mail!$A92)),"",MID(Mail!$A92,FIND(AG$2,Mail!$A92)+LEN(AG$2)+1,IF(ISERROR(FIND("■",Mail!$A92,FIND(AG$2,Mail!$A92)+LEN(AG$2))-FIND(AG$2,Mail!$A92)-LEN(AG$2)),LEN(Mail!$A92)-60-FIND(AG$2,Mail!$A92)-LEN(AG$2),FIND("■",Mail!$A92,FIND(AG$2,Mail!$A92)+LEN(AG$2))-FIND(AG$2,Mail!$A92)-LEN(AG$2)-1))))</f>
        <v/>
      </c>
      <c r="AH94" t="str">
        <f>TRIM(IF(ISERROR(FIND(AH$2,Mail!$A92)),"",MID(Mail!$A92,FIND(AH$2,Mail!$A92)+LEN(AH$2)+1,IF(ISERROR(FIND("■",Mail!$A92,FIND(AH$2,Mail!$A92)+LEN(AH$2))-FIND(AH$2,Mail!$A92)-LEN(AH$2)),LEN(Mail!$A92)-60-FIND(AH$2,Mail!$A92)-LEN(AH$2),FIND("■",Mail!$A92,FIND(AH$2,Mail!$A92)+LEN(AH$2))-FIND(AH$2,Mail!$A92)-LEN(AH$2)-1))))</f>
        <v/>
      </c>
      <c r="AI94" t="str">
        <f>TRIM(IF(ISERROR(FIND(AI$2,Mail!$A92)),"",MID(Mail!$A92,FIND(AI$2,Mail!$A92)+LEN(AI$2)+1,IF(ISERROR(FIND("■",Mail!$A92,FIND(AI$2,Mail!$A92)+LEN(AI$2))-FIND(AI$2,Mail!$A92)-LEN(AI$2)),LEN(Mail!$A92)-60-FIND(AI$2,Mail!$A92)-LEN(AI$2),FIND("■",Mail!$A92,FIND(AI$2,Mail!$A92)+LEN(AI$2))-FIND(AI$2,Mail!$A92)-LEN(AI$2)-1))))</f>
        <v/>
      </c>
    </row>
    <row r="95" spans="1:35" x14ac:dyDescent="0.15">
      <c r="A95" s="9" t="str">
        <f t="shared" si="6"/>
        <v/>
      </c>
      <c r="B95" s="8" t="str">
        <f>CLEAN(SUBSTITUTE(IF(ISERROR(FIND("yokohama",Mail!$A93)),"",MID(Mail!$A93,FIND("yokohama",Mail!$A93)+LEN("yokohama")+1,FIND("件目",Mail!$A93,FIND("yokohama",Mail!$A93))-(FIND("yokohama",Mail!$A93)+LEN("yokohama")+1)))," ",""))</f>
        <v/>
      </c>
      <c r="C95" s="2" t="str">
        <f t="shared" si="5"/>
        <v/>
      </c>
      <c r="D95" s="9" t="str">
        <f t="shared" si="7"/>
        <v/>
      </c>
      <c r="E95" s="8" t="str">
        <f t="shared" si="8"/>
        <v/>
      </c>
      <c r="F95" t="str">
        <f>TRIM(CLEAN(IF(ISERROR(FIND(F$2,Mail!$A93)),"",MID(Mail!$A93,FIND(F$2,Mail!$A93)+LEN(F$2)+1,IF(ISERROR(FIND("■",Mail!$A93,FIND(F$2,Mail!$A93)+LEN(F$2))-FIND(F$2,Mail!$A93)-LEN(F$2)),LEN(Mail!$A93)-60-FIND(F$2,Mail!$A93)-LEN(F$2),FIND("■",Mail!$A93,FIND(F$2,Mail!$A93)+LEN(F$2))-FIND(F$2,Mail!$A93)-LEN(F$2)-1)))))</f>
        <v/>
      </c>
      <c r="G95" t="str">
        <f>TRIM(CLEAN(IF(ISERROR(FIND(G$2,Mail!$A93)),"",MID(Mail!$A93,FIND(G$2,Mail!$A93)+LEN(G$2)+1,IF(ISERROR(FIND("■",Mail!$A93,FIND(G$2,Mail!$A93)+LEN(G$2))-FIND(G$2,Mail!$A93)-LEN(G$2)),LEN(Mail!$A93)-60-FIND(G$2,Mail!$A93)-LEN(G$2),FIND("■",Mail!$A93,FIND(G$2,Mail!$A93)+LEN(G$2))-FIND(G$2,Mail!$A93)-LEN(G$2)-1)))))</f>
        <v/>
      </c>
      <c r="H95" s="8" t="str">
        <f>TRIM(CLEAN(IF(ISERROR(FIND(H$2,Mail!$A93)),"",MID(Mail!$A93,FIND(H$2,Mail!$A93)+LEN(H$2)+1,IF(ISERROR(FIND("■",Mail!$A93,FIND(H$2,Mail!$A93)+LEN(H$2))-FIND(H$2,Mail!$A93)-LEN(H$2)),LEN(Mail!$A93)-60-FIND(H$2,Mail!$A93)-LEN(H$2),FIND("■",Mail!$A93,FIND(H$2,Mail!$A93)+LEN(H$2))-FIND(H$2,Mail!$A93)-LEN(H$2)-1)))))</f>
        <v/>
      </c>
      <c r="I95" t="str">
        <f>TRIM(CLEAN(IF(ISERROR(FIND(I$2,Mail!$A93)),"",MID(Mail!$A93,FIND(I$2,Mail!$A93)+LEN(I$2)+1,IF(ISERROR(FIND("■",Mail!$A93,FIND(I$2,Mail!$A93)+LEN(I$2))-FIND(I$2,Mail!$A93)-LEN(I$2)),LEN(Mail!$A93)-60-FIND(I$2,Mail!$A93)-LEN(I$2),FIND("■",Mail!$A93,FIND(I$2,Mail!$A93)+LEN(I$2))-FIND(I$2,Mail!$A93)-LEN(I$2)-1)))))</f>
        <v/>
      </c>
      <c r="J95" t="str">
        <f>TRIM(IF(ISERROR(FIND(J$2,Mail!$A93)),"",MID(Mail!$A93,FIND(J$2,Mail!$A93)+LEN(J$2)+1,IF(ISERROR(FIND("■",Mail!$A93,FIND(J$2,Mail!$A93)+LEN(J$2))-FIND(J$2,Mail!$A93)-LEN(J$2)),LEN(Mail!$A93)-60-FIND(J$2,Mail!$A93)-LEN(J$2),FIND("■",Mail!$A93,FIND(J$2,Mail!$A93)+LEN(J$2))-FIND(J$2,Mail!$A93)-LEN(J$2)-1))))</f>
        <v/>
      </c>
      <c r="K95" t="str">
        <f>TRIM(IF(ISERROR(FIND(K$2,Mail!$A93)),"",MID(Mail!$A93,FIND(K$2,Mail!$A93)+LEN(K$2)+1,IF(ISERROR(FIND("■",Mail!$A93,FIND(K$2,Mail!$A93)+LEN(K$2))-FIND(K$2,Mail!$A93)-LEN(K$2)),LEN(Mail!$A93)-60-FIND(K$2,Mail!$A93)-LEN(K$2),FIND("■",Mail!$A93,FIND(K$2,Mail!$A93)+LEN(K$2))-FIND(K$2,Mail!$A93)-LEN(K$2)-1))))</f>
        <v/>
      </c>
      <c r="L95" t="str">
        <f>TRIM(IF(ISERROR(FIND(L$2,Mail!$A93)),"",MID(Mail!$A93,FIND(L$2,Mail!$A93)+LEN(L$2)+1,IF(ISERROR(FIND("■",Mail!$A93,FIND(L$2,Mail!$A93)+LEN(L$2))-FIND(L$2,Mail!$A93)-LEN(L$2)),LEN(Mail!$A93)-60-FIND(L$2,Mail!$A93)-LEN(L$2),FIND("■",Mail!$A93,FIND(L$2,Mail!$A93)+LEN(L$2))-FIND(L$2,Mail!$A93)-LEN(L$2)-1))))</f>
        <v/>
      </c>
      <c r="M95" t="str">
        <f>TRIM(CLEAN(IF(ISERROR(FIND(M$2,Mail!$A93)),"",MID(Mail!$A93,FIND(M$2,Mail!$A93)+LEN(M$2)+1,IF(ISERROR(FIND("■",Mail!$A93,FIND(M$2,Mail!$A93)+LEN(M$2))-FIND(M$2,Mail!$A93)-LEN(M$2)),LEN(Mail!$A93)-60-FIND(M$2,Mail!$A93)-LEN(M$2),FIND("■",Mail!$A93,FIND(M$2,Mail!$A93)+LEN(M$2))-FIND(M$2,Mail!$A93)-LEN(M$2)-1)))))</f>
        <v/>
      </c>
      <c r="N95" t="str">
        <f>TRIM(CLEAN(IF(ISERROR(FIND(N$2,Mail!$A93)),"",MID(Mail!$A93,FIND(N$2,Mail!$A93)+LEN(N$2)+1,IF(ISERROR(FIND("■",Mail!$A93,FIND(N$2,Mail!$A93)+LEN(N$2))-FIND(N$2,Mail!$A93)-LEN(N$2)),LEN(Mail!$A93)-60-FIND(N$2,Mail!$A93)-LEN(N$2),FIND("■",Mail!$A93,FIND(N$2,Mail!$A93)+LEN(N$2))-FIND(N$2,Mail!$A93)-LEN(N$2)-1)))))</f>
        <v/>
      </c>
      <c r="O95" t="str">
        <f>TRIM(CLEAN(IF(ISERROR(FIND(O$2,Mail!$A93)),"",MID(Mail!$A93,FIND(O$2,Mail!$A93)+LEN(O$2)+1,IF(ISERROR(FIND("■",Mail!$A93,FIND(O$2,Mail!$A93)+LEN(O$2))-FIND(O$2,Mail!$A93)-LEN(O$2)),LEN(Mail!$A93)-60-FIND(O$2,Mail!$A93)-LEN(O$2),FIND("■",Mail!$A93,FIND(O$2,Mail!$A93)+LEN(O$2))-FIND(O$2,Mail!$A93)-LEN(O$2)-1)))))</f>
        <v/>
      </c>
      <c r="P95" t="str">
        <f>TRIM(CLEAN(IF(ISERROR(FIND(P$2,Mail!$A93)),"",MID(Mail!$A93,FIND(P$2,Mail!$A93)+LEN(P$2)+1,IF(ISERROR(FIND("■",Mail!$A93,FIND(P$2,Mail!$A93)+LEN(P$2))-FIND(P$2,Mail!$A93)-LEN(P$2)),LEN(Mail!$A93)-60-FIND(P$2,Mail!$A93)-LEN(P$2),FIND("■",Mail!$A93,FIND(P$2,Mail!$A93)+LEN(P$2))-FIND(P$2,Mail!$A93)-LEN(P$2)-1)))))</f>
        <v/>
      </c>
      <c r="Q95" t="str">
        <f>TRIM(CLEAN(IF(ISERROR(FIND(Q$2,Mail!$A93)),"",MID(Mail!$A93,FIND(Q$2,Mail!$A93)+LEN(Q$2)+1,IF(ISERROR(FIND("■",Mail!$A93,FIND(Q$2,Mail!$A93)+LEN(Q$2))-FIND(Q$2,Mail!$A93)-LEN(Q$2)),LEN(Mail!$A93)-60-FIND(Q$2,Mail!$A93)-LEN(Q$2),FIND("■",Mail!$A93,FIND(Q$2,Mail!$A93)+LEN(Q$2))-FIND(Q$2,Mail!$A93)-LEN(Q$2)-1)))))</f>
        <v/>
      </c>
      <c r="R95" s="8" t="str">
        <f>TRIM(CLEAN(IF(ISERROR(FIND(R$2,Mail!$A93)),"",MID(Mail!$A93,FIND(R$2,Mail!$A93)+LEN(R$2)+1,IF(ISERROR(FIND("■",Mail!$A93,FIND(R$2,Mail!$A93)+LEN(R$2))-FIND(R$2,Mail!$A93)-LEN(R$2)),LEN(Mail!$A93)-60-FIND(R$2,Mail!$A93)-LEN(R$2),FIND("■",Mail!$A93,FIND(R$2,Mail!$A93)+LEN(R$2))-FIND(R$2,Mail!$A93)-LEN(R$2)-1)))))</f>
        <v/>
      </c>
      <c r="S95" t="str">
        <f>TRIM(CLEAN(IF(ISERROR(FIND(S$2,Mail!$A93)),"",MID(Mail!$A93,FIND(S$2,Mail!$A93)+LEN(S$2)+1,IF(ISERROR(FIND("■",Mail!$A93,FIND(S$2,Mail!$A93)+LEN(S$2))-FIND(S$2,Mail!$A93)-LEN(S$2)),LEN(Mail!$A93)-60-FIND(S$2,Mail!$A93)-LEN(S$2),FIND("■",Mail!$A93,FIND(S$2,Mail!$A93)+LEN(S$2))-FIND(S$2,Mail!$A93)-LEN(S$2)-1)))))</f>
        <v/>
      </c>
      <c r="T95" t="str">
        <f>TRIM(CLEAN(IF(ISERROR(FIND(T$2,Mail!$A93)),"",MID(Mail!$A93,FIND(T$2,Mail!$A93)+LEN(T$2)+1,IF(ISERROR(FIND("■",Mail!$A93,FIND(T$2,Mail!$A93)+LEN(T$2))-FIND(T$2,Mail!$A93)-LEN(T$2)),LEN(Mail!$A93)-60-FIND(T$2,Mail!$A93)-LEN(T$2),FIND("■",Mail!$A93,FIND(T$2,Mail!$A93)+LEN(T$2))-FIND(T$2,Mail!$A93)-LEN(T$2)-1)))))</f>
        <v/>
      </c>
      <c r="U95" t="str">
        <f>TRIM(CLEAN(IF(ISERROR(FIND(U$2,Mail!$A93)),"",MID(Mail!$A93,FIND(U$2,Mail!$A93)+LEN(U$2)+1,IF(ISERROR(FIND("■",Mail!$A93,FIND(U$2,Mail!$A93)+LEN(U$2))-FIND(U$2,Mail!$A93)-LEN(U$2)),LEN(Mail!$A93)-60-FIND(U$2,Mail!$A93)-LEN(U$2),FIND("■",Mail!$A93,FIND(U$2,Mail!$A93)+LEN(U$2))-FIND(U$2,Mail!$A93)-LEN(U$2)-1)))))</f>
        <v/>
      </c>
      <c r="V95" t="str">
        <f>TRIM(CLEAN(IF(ISERROR(FIND(V$2,Mail!$A93)),"",MID(Mail!$A93,FIND(V$2,Mail!$A93)+LEN(V$2)+1,IF(ISERROR(FIND("■",Mail!$A93,FIND(V$2,Mail!$A93)+LEN(V$2))-FIND(V$2,Mail!$A93)-LEN(V$2)),LEN(Mail!$A93)-60-FIND(V$2,Mail!$A93)-LEN(V$2),FIND("■",Mail!$A93,FIND(V$2,Mail!$A93)+LEN(V$2))-FIND(V$2,Mail!$A93)-LEN(V$2)-1)))))</f>
        <v/>
      </c>
      <c r="W95" t="str">
        <f>TRIM(CLEAN(IF(ISERROR(FIND(W$2,Mail!$A93)),"",MID(Mail!$A93,FIND(W$2,Mail!$A93)+LEN(W$2)+1,IF(ISERROR(FIND("■",Mail!$A93,FIND(W$2,Mail!$A93)+LEN(W$2))-FIND(W$2,Mail!$A93)-LEN(W$2)),LEN(Mail!$A93)-60-FIND(W$2,Mail!$A93)-LEN(W$2),FIND("■",Mail!$A93,FIND(W$2,Mail!$A93)+LEN(W$2))-FIND(W$2,Mail!$A93)-LEN(W$2)-1)))))</f>
        <v/>
      </c>
      <c r="X95" t="str">
        <f>TRIM(IF(ISERROR(FIND(X$2,Mail!$A93)),"",MID(Mail!$A93,FIND(X$2,Mail!$A93)+LEN(X$2)+1,IF(ISERROR(FIND("■",Mail!$A93,FIND(X$2,Mail!$A93)+LEN(X$2))-FIND(X$2,Mail!$A93)-LEN(X$2)),LEN(Mail!$A93)-60-FIND(X$2,Mail!$A93)-LEN(X$2),FIND("■",Mail!$A93,FIND(X$2,Mail!$A93)+LEN(X$2))-FIND(X$2,Mail!$A93)-LEN(X$2)-1))))</f>
        <v/>
      </c>
      <c r="Y95" t="str">
        <f>TRIM(CLEAN(IF(ISERROR(FIND(Y$2,Mail!$A93)),"",MID(Mail!$A93,FIND(Y$2,Mail!$A93)+LEN(Y$2)+1,IF(ISERROR(FIND("■",Mail!$A93,FIND(Y$2,Mail!$A93)+LEN(Y$2))-FIND(Y$2,Mail!$A93)-LEN(Y$2)),LEN(Mail!$A93)-60-FIND(Y$2,Mail!$A93)-LEN(Y$2),FIND("■",Mail!$A93,FIND(Y$2,Mail!$A93)+LEN(Y$2))-FIND(Y$2,Mail!$A93)-LEN(Y$2)-1)))))</f>
        <v/>
      </c>
      <c r="Z95" t="str">
        <f>TRIM(CLEAN(IF(ISERROR(FIND(Z$2,Mail!$A93)),"",MID(Mail!$A93,FIND(Z$2,Mail!$A93)+LEN(Z$2)+1,IF(ISERROR(FIND("■",Mail!$A93,FIND(Z$2,Mail!$A93)+LEN(Z$2))-FIND(Z$2,Mail!$A93)-LEN(Z$2)),LEN(Mail!$A93)-60-FIND(Z$2,Mail!$A93)-LEN(Z$2),FIND("■",Mail!$A93,FIND(Z$2,Mail!$A93)+LEN(Z$2))-FIND(Z$2,Mail!$A93)-LEN(Z$2)-1)))))</f>
        <v/>
      </c>
      <c r="AA95" t="str">
        <f>TRIM(CLEAN(IF(ISERROR(FIND(AA$2,Mail!$A93)),"",MID(Mail!$A93,FIND(AA$2,Mail!$A93)+LEN(AA$2)+1,IF(ISERROR(FIND("■",Mail!$A93,FIND(AA$2,Mail!$A93)+LEN(AA$2))-FIND(AA$2,Mail!$A93)-LEN(AA$2)),LEN(Mail!$A93)-60-FIND(AA$2,Mail!$A93)-LEN(AA$2),FIND("■",Mail!$A93,FIND(AA$2,Mail!$A93)+LEN(AA$2))-FIND(AA$2,Mail!$A93)-LEN(AA$2)-1)))))</f>
        <v/>
      </c>
      <c r="AB95" t="str">
        <f>TRIM(CLEAN(IF(ISERROR(FIND(AB$2,Mail!$A93)),"",MID(Mail!$A93,FIND(AB$2,Mail!$A93)+LEN(AB$2)+1,IF(ISERROR(FIND("■",Mail!$A93,FIND(AB$2,Mail!$A93)+LEN(AB$2))-FIND(AB$2,Mail!$A93)-LEN(AB$2)),LEN(Mail!$A93)-60-FIND(AB$2,Mail!$A93)-LEN(AB$2),FIND("■",Mail!$A93,FIND(AB$2,Mail!$A93)+LEN(AB$2))-FIND(AB$2,Mail!$A93)-LEN(AB$2)-1)))))</f>
        <v/>
      </c>
      <c r="AC95" s="8" t="str">
        <f>TRIM(CLEAN(IF(ISERROR(FIND(AC$2,Mail!$A93)),"",MID(Mail!$A93,FIND(AC$2,Mail!$A93)+LEN(AC$2)+1,IF(ISERROR(FIND("■",Mail!$A93,FIND(AC$2,Mail!$A93)+LEN(AC$2))-FIND(AC$2,Mail!$A93)-LEN(AC$2)),LEN(Mail!$A93)-60-FIND(AC$2,Mail!$A93)-LEN(AC$2),FIND("■",Mail!$A93,FIND(AC$2,Mail!$A93)+LEN(AC$2))-FIND(AC$2,Mail!$A93)-LEN(AC$2)-1)))))</f>
        <v/>
      </c>
      <c r="AD95" t="str">
        <f>TRIM(CLEAN(IF(ISERROR(FIND(AD$2,Mail!$A93)),"",MID(Mail!$A93,FIND(AD$2,Mail!$A93)+LEN(AD$2)+1,IF(ISERROR(FIND("■",Mail!$A93,FIND(AD$2,Mail!$A93)+LEN(AD$2))-FIND(AD$2,Mail!$A93)-LEN(AD$2)),LEN(Mail!$A93)-60-FIND(AD$2,Mail!$A93)-LEN(AD$2),FIND("■",Mail!$A93,FIND(AD$2,Mail!$A93)+LEN(AD$2))-FIND(AD$2,Mail!$A93)-LEN(AD$2)-1)))))</f>
        <v/>
      </c>
      <c r="AE95" t="str">
        <f>TRIM(CLEAN(IF(ISERROR(FIND(AE$2,Mail!$A93)),"",MID(Mail!$A93,FIND(AE$2,Mail!$A93)+LEN(AE$2)+1,IF(ISERROR(FIND("■",Mail!$A93,FIND(AE$2,Mail!$A93)+LEN(AE$2))-FIND(AE$2,Mail!$A93)-LEN(AE$2)),LEN(Mail!$A93)-60-FIND(AE$2,Mail!$A93)-LEN(AE$2),FIND("■",Mail!$A93,FIND(AE$2,Mail!$A93)+LEN(AE$2))-FIND(AE$2,Mail!$A93)-LEN(AE$2)-1)))))</f>
        <v/>
      </c>
      <c r="AF95" t="str">
        <f>TRIM(CLEAN(IF(ISERROR(FIND(AF$2,Mail!$A93)),"",MID(Mail!$A93,FIND(AF$2,Mail!$A93)+LEN(AF$2)+1,IF(ISERROR(FIND("■",Mail!$A93,FIND(AF$2,Mail!$A93)+LEN(AF$2))-FIND(AF$2,Mail!$A93)-LEN(AF$2)),LEN(Mail!$A93)-60-FIND(AF$2,Mail!$A93)-LEN(AF$2),FIND("■",Mail!$A93,FIND(AF$2,Mail!$A93)+LEN(AF$2))-FIND(AF$2,Mail!$A93)-LEN(AF$2)-1)))))</f>
        <v/>
      </c>
      <c r="AG95" t="str">
        <f>TRIM(IF(ISERROR(FIND(AG$2,Mail!$A93)),"",MID(Mail!$A93,FIND(AG$2,Mail!$A93)+LEN(AG$2)+1,IF(ISERROR(FIND("■",Mail!$A93,FIND(AG$2,Mail!$A93)+LEN(AG$2))-FIND(AG$2,Mail!$A93)-LEN(AG$2)),LEN(Mail!$A93)-60-FIND(AG$2,Mail!$A93)-LEN(AG$2),FIND("■",Mail!$A93,FIND(AG$2,Mail!$A93)+LEN(AG$2))-FIND(AG$2,Mail!$A93)-LEN(AG$2)-1))))</f>
        <v/>
      </c>
      <c r="AH95" t="str">
        <f>TRIM(IF(ISERROR(FIND(AH$2,Mail!$A93)),"",MID(Mail!$A93,FIND(AH$2,Mail!$A93)+LEN(AH$2)+1,IF(ISERROR(FIND("■",Mail!$A93,FIND(AH$2,Mail!$A93)+LEN(AH$2))-FIND(AH$2,Mail!$A93)-LEN(AH$2)),LEN(Mail!$A93)-60-FIND(AH$2,Mail!$A93)-LEN(AH$2),FIND("■",Mail!$A93,FIND(AH$2,Mail!$A93)+LEN(AH$2))-FIND(AH$2,Mail!$A93)-LEN(AH$2)-1))))</f>
        <v/>
      </c>
      <c r="AI95" t="str">
        <f>TRIM(IF(ISERROR(FIND(AI$2,Mail!$A93)),"",MID(Mail!$A93,FIND(AI$2,Mail!$A93)+LEN(AI$2)+1,IF(ISERROR(FIND("■",Mail!$A93,FIND(AI$2,Mail!$A93)+LEN(AI$2))-FIND(AI$2,Mail!$A93)-LEN(AI$2)),LEN(Mail!$A93)-60-FIND(AI$2,Mail!$A93)-LEN(AI$2),FIND("■",Mail!$A93,FIND(AI$2,Mail!$A93)+LEN(AI$2))-FIND(AI$2,Mail!$A93)-LEN(AI$2)-1))))</f>
        <v/>
      </c>
    </row>
    <row r="96" spans="1:35" x14ac:dyDescent="0.15">
      <c r="A96" s="9" t="str">
        <f t="shared" si="6"/>
        <v/>
      </c>
      <c r="B96" s="8" t="str">
        <f>CLEAN(SUBSTITUTE(IF(ISERROR(FIND("yokohama",Mail!$A94)),"",MID(Mail!$A94,FIND("yokohama",Mail!$A94)+LEN("yokohama")+1,FIND("件目",Mail!$A94,FIND("yokohama",Mail!$A94))-(FIND("yokohama",Mail!$A94)+LEN("yokohama")+1)))," ",""))</f>
        <v/>
      </c>
      <c r="C96" s="2" t="str">
        <f t="shared" si="5"/>
        <v/>
      </c>
      <c r="D96" s="9" t="str">
        <f t="shared" si="7"/>
        <v/>
      </c>
      <c r="E96" s="8" t="str">
        <f t="shared" si="8"/>
        <v/>
      </c>
      <c r="F96" t="str">
        <f>TRIM(CLEAN(IF(ISERROR(FIND(F$2,Mail!$A94)),"",MID(Mail!$A94,FIND(F$2,Mail!$A94)+LEN(F$2)+1,IF(ISERROR(FIND("■",Mail!$A94,FIND(F$2,Mail!$A94)+LEN(F$2))-FIND(F$2,Mail!$A94)-LEN(F$2)),LEN(Mail!$A94)-60-FIND(F$2,Mail!$A94)-LEN(F$2),FIND("■",Mail!$A94,FIND(F$2,Mail!$A94)+LEN(F$2))-FIND(F$2,Mail!$A94)-LEN(F$2)-1)))))</f>
        <v/>
      </c>
      <c r="G96" t="str">
        <f>TRIM(CLEAN(IF(ISERROR(FIND(G$2,Mail!$A94)),"",MID(Mail!$A94,FIND(G$2,Mail!$A94)+LEN(G$2)+1,IF(ISERROR(FIND("■",Mail!$A94,FIND(G$2,Mail!$A94)+LEN(G$2))-FIND(G$2,Mail!$A94)-LEN(G$2)),LEN(Mail!$A94)-60-FIND(G$2,Mail!$A94)-LEN(G$2),FIND("■",Mail!$A94,FIND(G$2,Mail!$A94)+LEN(G$2))-FIND(G$2,Mail!$A94)-LEN(G$2)-1)))))</f>
        <v/>
      </c>
      <c r="H96" s="8" t="str">
        <f>TRIM(CLEAN(IF(ISERROR(FIND(H$2,Mail!$A94)),"",MID(Mail!$A94,FIND(H$2,Mail!$A94)+LEN(H$2)+1,IF(ISERROR(FIND("■",Mail!$A94,FIND(H$2,Mail!$A94)+LEN(H$2))-FIND(H$2,Mail!$A94)-LEN(H$2)),LEN(Mail!$A94)-60-FIND(H$2,Mail!$A94)-LEN(H$2),FIND("■",Mail!$A94,FIND(H$2,Mail!$A94)+LEN(H$2))-FIND(H$2,Mail!$A94)-LEN(H$2)-1)))))</f>
        <v/>
      </c>
      <c r="I96" t="str">
        <f>TRIM(CLEAN(IF(ISERROR(FIND(I$2,Mail!$A94)),"",MID(Mail!$A94,FIND(I$2,Mail!$A94)+LEN(I$2)+1,IF(ISERROR(FIND("■",Mail!$A94,FIND(I$2,Mail!$A94)+LEN(I$2))-FIND(I$2,Mail!$A94)-LEN(I$2)),LEN(Mail!$A94)-60-FIND(I$2,Mail!$A94)-LEN(I$2),FIND("■",Mail!$A94,FIND(I$2,Mail!$A94)+LEN(I$2))-FIND(I$2,Mail!$A94)-LEN(I$2)-1)))))</f>
        <v/>
      </c>
      <c r="J96" t="str">
        <f>TRIM(IF(ISERROR(FIND(J$2,Mail!$A94)),"",MID(Mail!$A94,FIND(J$2,Mail!$A94)+LEN(J$2)+1,IF(ISERROR(FIND("■",Mail!$A94,FIND(J$2,Mail!$A94)+LEN(J$2))-FIND(J$2,Mail!$A94)-LEN(J$2)),LEN(Mail!$A94)-60-FIND(J$2,Mail!$A94)-LEN(J$2),FIND("■",Mail!$A94,FIND(J$2,Mail!$A94)+LEN(J$2))-FIND(J$2,Mail!$A94)-LEN(J$2)-1))))</f>
        <v/>
      </c>
      <c r="K96" t="str">
        <f>TRIM(IF(ISERROR(FIND(K$2,Mail!$A94)),"",MID(Mail!$A94,FIND(K$2,Mail!$A94)+LEN(K$2)+1,IF(ISERROR(FIND("■",Mail!$A94,FIND(K$2,Mail!$A94)+LEN(K$2))-FIND(K$2,Mail!$A94)-LEN(K$2)),LEN(Mail!$A94)-60-FIND(K$2,Mail!$A94)-LEN(K$2),FIND("■",Mail!$A94,FIND(K$2,Mail!$A94)+LEN(K$2))-FIND(K$2,Mail!$A94)-LEN(K$2)-1))))</f>
        <v/>
      </c>
      <c r="L96" t="str">
        <f>TRIM(IF(ISERROR(FIND(L$2,Mail!$A94)),"",MID(Mail!$A94,FIND(L$2,Mail!$A94)+LEN(L$2)+1,IF(ISERROR(FIND("■",Mail!$A94,FIND(L$2,Mail!$A94)+LEN(L$2))-FIND(L$2,Mail!$A94)-LEN(L$2)),LEN(Mail!$A94)-60-FIND(L$2,Mail!$A94)-LEN(L$2),FIND("■",Mail!$A94,FIND(L$2,Mail!$A94)+LEN(L$2))-FIND(L$2,Mail!$A94)-LEN(L$2)-1))))</f>
        <v/>
      </c>
      <c r="M96" t="str">
        <f>TRIM(CLEAN(IF(ISERROR(FIND(M$2,Mail!$A94)),"",MID(Mail!$A94,FIND(M$2,Mail!$A94)+LEN(M$2)+1,IF(ISERROR(FIND("■",Mail!$A94,FIND(M$2,Mail!$A94)+LEN(M$2))-FIND(M$2,Mail!$A94)-LEN(M$2)),LEN(Mail!$A94)-60-FIND(M$2,Mail!$A94)-LEN(M$2),FIND("■",Mail!$A94,FIND(M$2,Mail!$A94)+LEN(M$2))-FIND(M$2,Mail!$A94)-LEN(M$2)-1)))))</f>
        <v/>
      </c>
      <c r="N96" t="str">
        <f>TRIM(CLEAN(IF(ISERROR(FIND(N$2,Mail!$A94)),"",MID(Mail!$A94,FIND(N$2,Mail!$A94)+LEN(N$2)+1,IF(ISERROR(FIND("■",Mail!$A94,FIND(N$2,Mail!$A94)+LEN(N$2))-FIND(N$2,Mail!$A94)-LEN(N$2)),LEN(Mail!$A94)-60-FIND(N$2,Mail!$A94)-LEN(N$2),FIND("■",Mail!$A94,FIND(N$2,Mail!$A94)+LEN(N$2))-FIND(N$2,Mail!$A94)-LEN(N$2)-1)))))</f>
        <v/>
      </c>
      <c r="O96" t="str">
        <f>TRIM(CLEAN(IF(ISERROR(FIND(O$2,Mail!$A94)),"",MID(Mail!$A94,FIND(O$2,Mail!$A94)+LEN(O$2)+1,IF(ISERROR(FIND("■",Mail!$A94,FIND(O$2,Mail!$A94)+LEN(O$2))-FIND(O$2,Mail!$A94)-LEN(O$2)),LEN(Mail!$A94)-60-FIND(O$2,Mail!$A94)-LEN(O$2),FIND("■",Mail!$A94,FIND(O$2,Mail!$A94)+LEN(O$2))-FIND(O$2,Mail!$A94)-LEN(O$2)-1)))))</f>
        <v/>
      </c>
      <c r="P96" t="str">
        <f>TRIM(CLEAN(IF(ISERROR(FIND(P$2,Mail!$A94)),"",MID(Mail!$A94,FIND(P$2,Mail!$A94)+LEN(P$2)+1,IF(ISERROR(FIND("■",Mail!$A94,FIND(P$2,Mail!$A94)+LEN(P$2))-FIND(P$2,Mail!$A94)-LEN(P$2)),LEN(Mail!$A94)-60-FIND(P$2,Mail!$A94)-LEN(P$2),FIND("■",Mail!$A94,FIND(P$2,Mail!$A94)+LEN(P$2))-FIND(P$2,Mail!$A94)-LEN(P$2)-1)))))</f>
        <v/>
      </c>
      <c r="Q96" t="str">
        <f>TRIM(CLEAN(IF(ISERROR(FIND(Q$2,Mail!$A94)),"",MID(Mail!$A94,FIND(Q$2,Mail!$A94)+LEN(Q$2)+1,IF(ISERROR(FIND("■",Mail!$A94,FIND(Q$2,Mail!$A94)+LEN(Q$2))-FIND(Q$2,Mail!$A94)-LEN(Q$2)),LEN(Mail!$A94)-60-FIND(Q$2,Mail!$A94)-LEN(Q$2),FIND("■",Mail!$A94,FIND(Q$2,Mail!$A94)+LEN(Q$2))-FIND(Q$2,Mail!$A94)-LEN(Q$2)-1)))))</f>
        <v/>
      </c>
      <c r="R96" s="8" t="str">
        <f>TRIM(CLEAN(IF(ISERROR(FIND(R$2,Mail!$A94)),"",MID(Mail!$A94,FIND(R$2,Mail!$A94)+LEN(R$2)+1,IF(ISERROR(FIND("■",Mail!$A94,FIND(R$2,Mail!$A94)+LEN(R$2))-FIND(R$2,Mail!$A94)-LEN(R$2)),LEN(Mail!$A94)-60-FIND(R$2,Mail!$A94)-LEN(R$2),FIND("■",Mail!$A94,FIND(R$2,Mail!$A94)+LEN(R$2))-FIND(R$2,Mail!$A94)-LEN(R$2)-1)))))</f>
        <v/>
      </c>
      <c r="S96" t="str">
        <f>TRIM(CLEAN(IF(ISERROR(FIND(S$2,Mail!$A94)),"",MID(Mail!$A94,FIND(S$2,Mail!$A94)+LEN(S$2)+1,IF(ISERROR(FIND("■",Mail!$A94,FIND(S$2,Mail!$A94)+LEN(S$2))-FIND(S$2,Mail!$A94)-LEN(S$2)),LEN(Mail!$A94)-60-FIND(S$2,Mail!$A94)-LEN(S$2),FIND("■",Mail!$A94,FIND(S$2,Mail!$A94)+LEN(S$2))-FIND(S$2,Mail!$A94)-LEN(S$2)-1)))))</f>
        <v/>
      </c>
      <c r="T96" t="str">
        <f>TRIM(CLEAN(IF(ISERROR(FIND(T$2,Mail!$A94)),"",MID(Mail!$A94,FIND(T$2,Mail!$A94)+LEN(T$2)+1,IF(ISERROR(FIND("■",Mail!$A94,FIND(T$2,Mail!$A94)+LEN(T$2))-FIND(T$2,Mail!$A94)-LEN(T$2)),LEN(Mail!$A94)-60-FIND(T$2,Mail!$A94)-LEN(T$2),FIND("■",Mail!$A94,FIND(T$2,Mail!$A94)+LEN(T$2))-FIND(T$2,Mail!$A94)-LEN(T$2)-1)))))</f>
        <v/>
      </c>
      <c r="U96" t="str">
        <f>TRIM(CLEAN(IF(ISERROR(FIND(U$2,Mail!$A94)),"",MID(Mail!$A94,FIND(U$2,Mail!$A94)+LEN(U$2)+1,IF(ISERROR(FIND("■",Mail!$A94,FIND(U$2,Mail!$A94)+LEN(U$2))-FIND(U$2,Mail!$A94)-LEN(U$2)),LEN(Mail!$A94)-60-FIND(U$2,Mail!$A94)-LEN(U$2),FIND("■",Mail!$A94,FIND(U$2,Mail!$A94)+LEN(U$2))-FIND(U$2,Mail!$A94)-LEN(U$2)-1)))))</f>
        <v/>
      </c>
      <c r="V96" t="str">
        <f>TRIM(CLEAN(IF(ISERROR(FIND(V$2,Mail!$A94)),"",MID(Mail!$A94,FIND(V$2,Mail!$A94)+LEN(V$2)+1,IF(ISERROR(FIND("■",Mail!$A94,FIND(V$2,Mail!$A94)+LEN(V$2))-FIND(V$2,Mail!$A94)-LEN(V$2)),LEN(Mail!$A94)-60-FIND(V$2,Mail!$A94)-LEN(V$2),FIND("■",Mail!$A94,FIND(V$2,Mail!$A94)+LEN(V$2))-FIND(V$2,Mail!$A94)-LEN(V$2)-1)))))</f>
        <v/>
      </c>
      <c r="W96" t="str">
        <f>TRIM(CLEAN(IF(ISERROR(FIND(W$2,Mail!$A94)),"",MID(Mail!$A94,FIND(W$2,Mail!$A94)+LEN(W$2)+1,IF(ISERROR(FIND("■",Mail!$A94,FIND(W$2,Mail!$A94)+LEN(W$2))-FIND(W$2,Mail!$A94)-LEN(W$2)),LEN(Mail!$A94)-60-FIND(W$2,Mail!$A94)-LEN(W$2),FIND("■",Mail!$A94,FIND(W$2,Mail!$A94)+LEN(W$2))-FIND(W$2,Mail!$A94)-LEN(W$2)-1)))))</f>
        <v/>
      </c>
      <c r="X96" t="str">
        <f>TRIM(IF(ISERROR(FIND(X$2,Mail!$A94)),"",MID(Mail!$A94,FIND(X$2,Mail!$A94)+LEN(X$2)+1,IF(ISERROR(FIND("■",Mail!$A94,FIND(X$2,Mail!$A94)+LEN(X$2))-FIND(X$2,Mail!$A94)-LEN(X$2)),LEN(Mail!$A94)-60-FIND(X$2,Mail!$A94)-LEN(X$2),FIND("■",Mail!$A94,FIND(X$2,Mail!$A94)+LEN(X$2))-FIND(X$2,Mail!$A94)-LEN(X$2)-1))))</f>
        <v/>
      </c>
      <c r="Y96" t="str">
        <f>TRIM(CLEAN(IF(ISERROR(FIND(Y$2,Mail!$A94)),"",MID(Mail!$A94,FIND(Y$2,Mail!$A94)+LEN(Y$2)+1,IF(ISERROR(FIND("■",Mail!$A94,FIND(Y$2,Mail!$A94)+LEN(Y$2))-FIND(Y$2,Mail!$A94)-LEN(Y$2)),LEN(Mail!$A94)-60-FIND(Y$2,Mail!$A94)-LEN(Y$2),FIND("■",Mail!$A94,FIND(Y$2,Mail!$A94)+LEN(Y$2))-FIND(Y$2,Mail!$A94)-LEN(Y$2)-1)))))</f>
        <v/>
      </c>
      <c r="Z96" t="str">
        <f>TRIM(CLEAN(IF(ISERROR(FIND(Z$2,Mail!$A94)),"",MID(Mail!$A94,FIND(Z$2,Mail!$A94)+LEN(Z$2)+1,IF(ISERROR(FIND("■",Mail!$A94,FIND(Z$2,Mail!$A94)+LEN(Z$2))-FIND(Z$2,Mail!$A94)-LEN(Z$2)),LEN(Mail!$A94)-60-FIND(Z$2,Mail!$A94)-LEN(Z$2),FIND("■",Mail!$A94,FIND(Z$2,Mail!$A94)+LEN(Z$2))-FIND(Z$2,Mail!$A94)-LEN(Z$2)-1)))))</f>
        <v/>
      </c>
      <c r="AA96" t="str">
        <f>TRIM(CLEAN(IF(ISERROR(FIND(AA$2,Mail!$A94)),"",MID(Mail!$A94,FIND(AA$2,Mail!$A94)+LEN(AA$2)+1,IF(ISERROR(FIND("■",Mail!$A94,FIND(AA$2,Mail!$A94)+LEN(AA$2))-FIND(AA$2,Mail!$A94)-LEN(AA$2)),LEN(Mail!$A94)-60-FIND(AA$2,Mail!$A94)-LEN(AA$2),FIND("■",Mail!$A94,FIND(AA$2,Mail!$A94)+LEN(AA$2))-FIND(AA$2,Mail!$A94)-LEN(AA$2)-1)))))</f>
        <v/>
      </c>
      <c r="AB96" t="str">
        <f>TRIM(CLEAN(IF(ISERROR(FIND(AB$2,Mail!$A94)),"",MID(Mail!$A94,FIND(AB$2,Mail!$A94)+LEN(AB$2)+1,IF(ISERROR(FIND("■",Mail!$A94,FIND(AB$2,Mail!$A94)+LEN(AB$2))-FIND(AB$2,Mail!$A94)-LEN(AB$2)),LEN(Mail!$A94)-60-FIND(AB$2,Mail!$A94)-LEN(AB$2),FIND("■",Mail!$A94,FIND(AB$2,Mail!$A94)+LEN(AB$2))-FIND(AB$2,Mail!$A94)-LEN(AB$2)-1)))))</f>
        <v/>
      </c>
      <c r="AC96" s="8" t="str">
        <f>TRIM(CLEAN(IF(ISERROR(FIND(AC$2,Mail!$A94)),"",MID(Mail!$A94,FIND(AC$2,Mail!$A94)+LEN(AC$2)+1,IF(ISERROR(FIND("■",Mail!$A94,FIND(AC$2,Mail!$A94)+LEN(AC$2))-FIND(AC$2,Mail!$A94)-LEN(AC$2)),LEN(Mail!$A94)-60-FIND(AC$2,Mail!$A94)-LEN(AC$2),FIND("■",Mail!$A94,FIND(AC$2,Mail!$A94)+LEN(AC$2))-FIND(AC$2,Mail!$A94)-LEN(AC$2)-1)))))</f>
        <v/>
      </c>
      <c r="AD96" t="str">
        <f>TRIM(CLEAN(IF(ISERROR(FIND(AD$2,Mail!$A94)),"",MID(Mail!$A94,FIND(AD$2,Mail!$A94)+LEN(AD$2)+1,IF(ISERROR(FIND("■",Mail!$A94,FIND(AD$2,Mail!$A94)+LEN(AD$2))-FIND(AD$2,Mail!$A94)-LEN(AD$2)),LEN(Mail!$A94)-60-FIND(AD$2,Mail!$A94)-LEN(AD$2),FIND("■",Mail!$A94,FIND(AD$2,Mail!$A94)+LEN(AD$2))-FIND(AD$2,Mail!$A94)-LEN(AD$2)-1)))))</f>
        <v/>
      </c>
      <c r="AE96" t="str">
        <f>TRIM(CLEAN(IF(ISERROR(FIND(AE$2,Mail!$A94)),"",MID(Mail!$A94,FIND(AE$2,Mail!$A94)+LEN(AE$2)+1,IF(ISERROR(FIND("■",Mail!$A94,FIND(AE$2,Mail!$A94)+LEN(AE$2))-FIND(AE$2,Mail!$A94)-LEN(AE$2)),LEN(Mail!$A94)-60-FIND(AE$2,Mail!$A94)-LEN(AE$2),FIND("■",Mail!$A94,FIND(AE$2,Mail!$A94)+LEN(AE$2))-FIND(AE$2,Mail!$A94)-LEN(AE$2)-1)))))</f>
        <v/>
      </c>
      <c r="AF96" t="str">
        <f>TRIM(CLEAN(IF(ISERROR(FIND(AF$2,Mail!$A94)),"",MID(Mail!$A94,FIND(AF$2,Mail!$A94)+LEN(AF$2)+1,IF(ISERROR(FIND("■",Mail!$A94,FIND(AF$2,Mail!$A94)+LEN(AF$2))-FIND(AF$2,Mail!$A94)-LEN(AF$2)),LEN(Mail!$A94)-60-FIND(AF$2,Mail!$A94)-LEN(AF$2),FIND("■",Mail!$A94,FIND(AF$2,Mail!$A94)+LEN(AF$2))-FIND(AF$2,Mail!$A94)-LEN(AF$2)-1)))))</f>
        <v/>
      </c>
      <c r="AG96" t="str">
        <f>TRIM(IF(ISERROR(FIND(AG$2,Mail!$A94)),"",MID(Mail!$A94,FIND(AG$2,Mail!$A94)+LEN(AG$2)+1,IF(ISERROR(FIND("■",Mail!$A94,FIND(AG$2,Mail!$A94)+LEN(AG$2))-FIND(AG$2,Mail!$A94)-LEN(AG$2)),LEN(Mail!$A94)-60-FIND(AG$2,Mail!$A94)-LEN(AG$2),FIND("■",Mail!$A94,FIND(AG$2,Mail!$A94)+LEN(AG$2))-FIND(AG$2,Mail!$A94)-LEN(AG$2)-1))))</f>
        <v/>
      </c>
      <c r="AH96" t="str">
        <f>TRIM(IF(ISERROR(FIND(AH$2,Mail!$A94)),"",MID(Mail!$A94,FIND(AH$2,Mail!$A94)+LEN(AH$2)+1,IF(ISERROR(FIND("■",Mail!$A94,FIND(AH$2,Mail!$A94)+LEN(AH$2))-FIND(AH$2,Mail!$A94)-LEN(AH$2)),LEN(Mail!$A94)-60-FIND(AH$2,Mail!$A94)-LEN(AH$2),FIND("■",Mail!$A94,FIND(AH$2,Mail!$A94)+LEN(AH$2))-FIND(AH$2,Mail!$A94)-LEN(AH$2)-1))))</f>
        <v/>
      </c>
      <c r="AI96" t="str">
        <f>TRIM(IF(ISERROR(FIND(AI$2,Mail!$A94)),"",MID(Mail!$A94,FIND(AI$2,Mail!$A94)+LEN(AI$2)+1,IF(ISERROR(FIND("■",Mail!$A94,FIND(AI$2,Mail!$A94)+LEN(AI$2))-FIND(AI$2,Mail!$A94)-LEN(AI$2)),LEN(Mail!$A94)-60-FIND(AI$2,Mail!$A94)-LEN(AI$2),FIND("■",Mail!$A94,FIND(AI$2,Mail!$A94)+LEN(AI$2))-FIND(AI$2,Mail!$A94)-LEN(AI$2)-1))))</f>
        <v/>
      </c>
    </row>
    <row r="97" spans="1:35" x14ac:dyDescent="0.15">
      <c r="A97" s="9" t="str">
        <f t="shared" si="6"/>
        <v/>
      </c>
      <c r="B97" s="8" t="str">
        <f>CLEAN(SUBSTITUTE(IF(ISERROR(FIND("yokohama",Mail!$A95)),"",MID(Mail!$A95,FIND("yokohama",Mail!$A95)+LEN("yokohama")+1,FIND("件目",Mail!$A95,FIND("yokohama",Mail!$A95))-(FIND("yokohama",Mail!$A95)+LEN("yokohama")+1)))," ",""))</f>
        <v/>
      </c>
      <c r="C97" s="2" t="str">
        <f t="shared" si="5"/>
        <v/>
      </c>
      <c r="D97" s="9" t="str">
        <f t="shared" si="7"/>
        <v/>
      </c>
      <c r="E97" s="8" t="str">
        <f t="shared" si="8"/>
        <v/>
      </c>
      <c r="F97" t="str">
        <f>TRIM(CLEAN(IF(ISERROR(FIND(F$2,Mail!$A95)),"",MID(Mail!$A95,FIND(F$2,Mail!$A95)+LEN(F$2)+1,IF(ISERROR(FIND("■",Mail!$A95,FIND(F$2,Mail!$A95)+LEN(F$2))-FIND(F$2,Mail!$A95)-LEN(F$2)),LEN(Mail!$A95)-60-FIND(F$2,Mail!$A95)-LEN(F$2),FIND("■",Mail!$A95,FIND(F$2,Mail!$A95)+LEN(F$2))-FIND(F$2,Mail!$A95)-LEN(F$2)-1)))))</f>
        <v/>
      </c>
      <c r="G97" t="str">
        <f>TRIM(CLEAN(IF(ISERROR(FIND(G$2,Mail!$A95)),"",MID(Mail!$A95,FIND(G$2,Mail!$A95)+LEN(G$2)+1,IF(ISERROR(FIND("■",Mail!$A95,FIND(G$2,Mail!$A95)+LEN(G$2))-FIND(G$2,Mail!$A95)-LEN(G$2)),LEN(Mail!$A95)-60-FIND(G$2,Mail!$A95)-LEN(G$2),FIND("■",Mail!$A95,FIND(G$2,Mail!$A95)+LEN(G$2))-FIND(G$2,Mail!$A95)-LEN(G$2)-1)))))</f>
        <v/>
      </c>
      <c r="H97" s="8" t="str">
        <f>TRIM(CLEAN(IF(ISERROR(FIND(H$2,Mail!$A95)),"",MID(Mail!$A95,FIND(H$2,Mail!$A95)+LEN(H$2)+1,IF(ISERROR(FIND("■",Mail!$A95,FIND(H$2,Mail!$A95)+LEN(H$2))-FIND(H$2,Mail!$A95)-LEN(H$2)),LEN(Mail!$A95)-60-FIND(H$2,Mail!$A95)-LEN(H$2),FIND("■",Mail!$A95,FIND(H$2,Mail!$A95)+LEN(H$2))-FIND(H$2,Mail!$A95)-LEN(H$2)-1)))))</f>
        <v/>
      </c>
      <c r="I97" t="str">
        <f>TRIM(CLEAN(IF(ISERROR(FIND(I$2,Mail!$A95)),"",MID(Mail!$A95,FIND(I$2,Mail!$A95)+LEN(I$2)+1,IF(ISERROR(FIND("■",Mail!$A95,FIND(I$2,Mail!$A95)+LEN(I$2))-FIND(I$2,Mail!$A95)-LEN(I$2)),LEN(Mail!$A95)-60-FIND(I$2,Mail!$A95)-LEN(I$2),FIND("■",Mail!$A95,FIND(I$2,Mail!$A95)+LEN(I$2))-FIND(I$2,Mail!$A95)-LEN(I$2)-1)))))</f>
        <v/>
      </c>
      <c r="J97" t="str">
        <f>TRIM(IF(ISERROR(FIND(J$2,Mail!$A95)),"",MID(Mail!$A95,FIND(J$2,Mail!$A95)+LEN(J$2)+1,IF(ISERROR(FIND("■",Mail!$A95,FIND(J$2,Mail!$A95)+LEN(J$2))-FIND(J$2,Mail!$A95)-LEN(J$2)),LEN(Mail!$A95)-60-FIND(J$2,Mail!$A95)-LEN(J$2),FIND("■",Mail!$A95,FIND(J$2,Mail!$A95)+LEN(J$2))-FIND(J$2,Mail!$A95)-LEN(J$2)-1))))</f>
        <v/>
      </c>
      <c r="K97" t="str">
        <f>TRIM(IF(ISERROR(FIND(K$2,Mail!$A95)),"",MID(Mail!$A95,FIND(K$2,Mail!$A95)+LEN(K$2)+1,IF(ISERROR(FIND("■",Mail!$A95,FIND(K$2,Mail!$A95)+LEN(K$2))-FIND(K$2,Mail!$A95)-LEN(K$2)),LEN(Mail!$A95)-60-FIND(K$2,Mail!$A95)-LEN(K$2),FIND("■",Mail!$A95,FIND(K$2,Mail!$A95)+LEN(K$2))-FIND(K$2,Mail!$A95)-LEN(K$2)-1))))</f>
        <v/>
      </c>
      <c r="L97" t="str">
        <f>TRIM(IF(ISERROR(FIND(L$2,Mail!$A95)),"",MID(Mail!$A95,FIND(L$2,Mail!$A95)+LEN(L$2)+1,IF(ISERROR(FIND("■",Mail!$A95,FIND(L$2,Mail!$A95)+LEN(L$2))-FIND(L$2,Mail!$A95)-LEN(L$2)),LEN(Mail!$A95)-60-FIND(L$2,Mail!$A95)-LEN(L$2),FIND("■",Mail!$A95,FIND(L$2,Mail!$A95)+LEN(L$2))-FIND(L$2,Mail!$A95)-LEN(L$2)-1))))</f>
        <v/>
      </c>
      <c r="M97" t="str">
        <f>TRIM(CLEAN(IF(ISERROR(FIND(M$2,Mail!$A95)),"",MID(Mail!$A95,FIND(M$2,Mail!$A95)+LEN(M$2)+1,IF(ISERROR(FIND("■",Mail!$A95,FIND(M$2,Mail!$A95)+LEN(M$2))-FIND(M$2,Mail!$A95)-LEN(M$2)),LEN(Mail!$A95)-60-FIND(M$2,Mail!$A95)-LEN(M$2),FIND("■",Mail!$A95,FIND(M$2,Mail!$A95)+LEN(M$2))-FIND(M$2,Mail!$A95)-LEN(M$2)-1)))))</f>
        <v/>
      </c>
      <c r="N97" t="str">
        <f>TRIM(CLEAN(IF(ISERROR(FIND(N$2,Mail!$A95)),"",MID(Mail!$A95,FIND(N$2,Mail!$A95)+LEN(N$2)+1,IF(ISERROR(FIND("■",Mail!$A95,FIND(N$2,Mail!$A95)+LEN(N$2))-FIND(N$2,Mail!$A95)-LEN(N$2)),LEN(Mail!$A95)-60-FIND(N$2,Mail!$A95)-LEN(N$2),FIND("■",Mail!$A95,FIND(N$2,Mail!$A95)+LEN(N$2))-FIND(N$2,Mail!$A95)-LEN(N$2)-1)))))</f>
        <v/>
      </c>
      <c r="O97" t="str">
        <f>TRIM(CLEAN(IF(ISERROR(FIND(O$2,Mail!$A95)),"",MID(Mail!$A95,FIND(O$2,Mail!$A95)+LEN(O$2)+1,IF(ISERROR(FIND("■",Mail!$A95,FIND(O$2,Mail!$A95)+LEN(O$2))-FIND(O$2,Mail!$A95)-LEN(O$2)),LEN(Mail!$A95)-60-FIND(O$2,Mail!$A95)-LEN(O$2),FIND("■",Mail!$A95,FIND(O$2,Mail!$A95)+LEN(O$2))-FIND(O$2,Mail!$A95)-LEN(O$2)-1)))))</f>
        <v/>
      </c>
      <c r="P97" t="str">
        <f>TRIM(CLEAN(IF(ISERROR(FIND(P$2,Mail!$A95)),"",MID(Mail!$A95,FIND(P$2,Mail!$A95)+LEN(P$2)+1,IF(ISERROR(FIND("■",Mail!$A95,FIND(P$2,Mail!$A95)+LEN(P$2))-FIND(P$2,Mail!$A95)-LEN(P$2)),LEN(Mail!$A95)-60-FIND(P$2,Mail!$A95)-LEN(P$2),FIND("■",Mail!$A95,FIND(P$2,Mail!$A95)+LEN(P$2))-FIND(P$2,Mail!$A95)-LEN(P$2)-1)))))</f>
        <v/>
      </c>
      <c r="Q97" t="str">
        <f>TRIM(CLEAN(IF(ISERROR(FIND(Q$2,Mail!$A95)),"",MID(Mail!$A95,FIND(Q$2,Mail!$A95)+LEN(Q$2)+1,IF(ISERROR(FIND("■",Mail!$A95,FIND(Q$2,Mail!$A95)+LEN(Q$2))-FIND(Q$2,Mail!$A95)-LEN(Q$2)),LEN(Mail!$A95)-60-FIND(Q$2,Mail!$A95)-LEN(Q$2),FIND("■",Mail!$A95,FIND(Q$2,Mail!$A95)+LEN(Q$2))-FIND(Q$2,Mail!$A95)-LEN(Q$2)-1)))))</f>
        <v/>
      </c>
      <c r="R97" s="8" t="str">
        <f>TRIM(CLEAN(IF(ISERROR(FIND(R$2,Mail!$A95)),"",MID(Mail!$A95,FIND(R$2,Mail!$A95)+LEN(R$2)+1,IF(ISERROR(FIND("■",Mail!$A95,FIND(R$2,Mail!$A95)+LEN(R$2))-FIND(R$2,Mail!$A95)-LEN(R$2)),LEN(Mail!$A95)-60-FIND(R$2,Mail!$A95)-LEN(R$2),FIND("■",Mail!$A95,FIND(R$2,Mail!$A95)+LEN(R$2))-FIND(R$2,Mail!$A95)-LEN(R$2)-1)))))</f>
        <v/>
      </c>
      <c r="S97" t="str">
        <f>TRIM(CLEAN(IF(ISERROR(FIND(S$2,Mail!$A95)),"",MID(Mail!$A95,FIND(S$2,Mail!$A95)+LEN(S$2)+1,IF(ISERROR(FIND("■",Mail!$A95,FIND(S$2,Mail!$A95)+LEN(S$2))-FIND(S$2,Mail!$A95)-LEN(S$2)),LEN(Mail!$A95)-60-FIND(S$2,Mail!$A95)-LEN(S$2),FIND("■",Mail!$A95,FIND(S$2,Mail!$A95)+LEN(S$2))-FIND(S$2,Mail!$A95)-LEN(S$2)-1)))))</f>
        <v/>
      </c>
      <c r="T97" t="str">
        <f>TRIM(CLEAN(IF(ISERROR(FIND(T$2,Mail!$A95)),"",MID(Mail!$A95,FIND(T$2,Mail!$A95)+LEN(T$2)+1,IF(ISERROR(FIND("■",Mail!$A95,FIND(T$2,Mail!$A95)+LEN(T$2))-FIND(T$2,Mail!$A95)-LEN(T$2)),LEN(Mail!$A95)-60-FIND(T$2,Mail!$A95)-LEN(T$2),FIND("■",Mail!$A95,FIND(T$2,Mail!$A95)+LEN(T$2))-FIND(T$2,Mail!$A95)-LEN(T$2)-1)))))</f>
        <v/>
      </c>
      <c r="U97" t="str">
        <f>TRIM(CLEAN(IF(ISERROR(FIND(U$2,Mail!$A95)),"",MID(Mail!$A95,FIND(U$2,Mail!$A95)+LEN(U$2)+1,IF(ISERROR(FIND("■",Mail!$A95,FIND(U$2,Mail!$A95)+LEN(U$2))-FIND(U$2,Mail!$A95)-LEN(U$2)),LEN(Mail!$A95)-60-FIND(U$2,Mail!$A95)-LEN(U$2),FIND("■",Mail!$A95,FIND(U$2,Mail!$A95)+LEN(U$2))-FIND(U$2,Mail!$A95)-LEN(U$2)-1)))))</f>
        <v/>
      </c>
      <c r="V97" t="str">
        <f>TRIM(CLEAN(IF(ISERROR(FIND(V$2,Mail!$A95)),"",MID(Mail!$A95,FIND(V$2,Mail!$A95)+LEN(V$2)+1,IF(ISERROR(FIND("■",Mail!$A95,FIND(V$2,Mail!$A95)+LEN(V$2))-FIND(V$2,Mail!$A95)-LEN(V$2)),LEN(Mail!$A95)-60-FIND(V$2,Mail!$A95)-LEN(V$2),FIND("■",Mail!$A95,FIND(V$2,Mail!$A95)+LEN(V$2))-FIND(V$2,Mail!$A95)-LEN(V$2)-1)))))</f>
        <v/>
      </c>
      <c r="W97" t="str">
        <f>TRIM(CLEAN(IF(ISERROR(FIND(W$2,Mail!$A95)),"",MID(Mail!$A95,FIND(W$2,Mail!$A95)+LEN(W$2)+1,IF(ISERROR(FIND("■",Mail!$A95,FIND(W$2,Mail!$A95)+LEN(W$2))-FIND(W$2,Mail!$A95)-LEN(W$2)),LEN(Mail!$A95)-60-FIND(W$2,Mail!$A95)-LEN(W$2),FIND("■",Mail!$A95,FIND(W$2,Mail!$A95)+LEN(W$2))-FIND(W$2,Mail!$A95)-LEN(W$2)-1)))))</f>
        <v/>
      </c>
      <c r="X97" t="str">
        <f>TRIM(IF(ISERROR(FIND(X$2,Mail!$A95)),"",MID(Mail!$A95,FIND(X$2,Mail!$A95)+LEN(X$2)+1,IF(ISERROR(FIND("■",Mail!$A95,FIND(X$2,Mail!$A95)+LEN(X$2))-FIND(X$2,Mail!$A95)-LEN(X$2)),LEN(Mail!$A95)-60-FIND(X$2,Mail!$A95)-LEN(X$2),FIND("■",Mail!$A95,FIND(X$2,Mail!$A95)+LEN(X$2))-FIND(X$2,Mail!$A95)-LEN(X$2)-1))))</f>
        <v/>
      </c>
      <c r="Y97" t="str">
        <f>TRIM(CLEAN(IF(ISERROR(FIND(Y$2,Mail!$A95)),"",MID(Mail!$A95,FIND(Y$2,Mail!$A95)+LEN(Y$2)+1,IF(ISERROR(FIND("■",Mail!$A95,FIND(Y$2,Mail!$A95)+LEN(Y$2))-FIND(Y$2,Mail!$A95)-LEN(Y$2)),LEN(Mail!$A95)-60-FIND(Y$2,Mail!$A95)-LEN(Y$2),FIND("■",Mail!$A95,FIND(Y$2,Mail!$A95)+LEN(Y$2))-FIND(Y$2,Mail!$A95)-LEN(Y$2)-1)))))</f>
        <v/>
      </c>
      <c r="Z97" t="str">
        <f>TRIM(CLEAN(IF(ISERROR(FIND(Z$2,Mail!$A95)),"",MID(Mail!$A95,FIND(Z$2,Mail!$A95)+LEN(Z$2)+1,IF(ISERROR(FIND("■",Mail!$A95,FIND(Z$2,Mail!$A95)+LEN(Z$2))-FIND(Z$2,Mail!$A95)-LEN(Z$2)),LEN(Mail!$A95)-60-FIND(Z$2,Mail!$A95)-LEN(Z$2),FIND("■",Mail!$A95,FIND(Z$2,Mail!$A95)+LEN(Z$2))-FIND(Z$2,Mail!$A95)-LEN(Z$2)-1)))))</f>
        <v/>
      </c>
      <c r="AA97" t="str">
        <f>TRIM(CLEAN(IF(ISERROR(FIND(AA$2,Mail!$A95)),"",MID(Mail!$A95,FIND(AA$2,Mail!$A95)+LEN(AA$2)+1,IF(ISERROR(FIND("■",Mail!$A95,FIND(AA$2,Mail!$A95)+LEN(AA$2))-FIND(AA$2,Mail!$A95)-LEN(AA$2)),LEN(Mail!$A95)-60-FIND(AA$2,Mail!$A95)-LEN(AA$2),FIND("■",Mail!$A95,FIND(AA$2,Mail!$A95)+LEN(AA$2))-FIND(AA$2,Mail!$A95)-LEN(AA$2)-1)))))</f>
        <v/>
      </c>
      <c r="AB97" t="str">
        <f>TRIM(CLEAN(IF(ISERROR(FIND(AB$2,Mail!$A95)),"",MID(Mail!$A95,FIND(AB$2,Mail!$A95)+LEN(AB$2)+1,IF(ISERROR(FIND("■",Mail!$A95,FIND(AB$2,Mail!$A95)+LEN(AB$2))-FIND(AB$2,Mail!$A95)-LEN(AB$2)),LEN(Mail!$A95)-60-FIND(AB$2,Mail!$A95)-LEN(AB$2),FIND("■",Mail!$A95,FIND(AB$2,Mail!$A95)+LEN(AB$2))-FIND(AB$2,Mail!$A95)-LEN(AB$2)-1)))))</f>
        <v/>
      </c>
      <c r="AC97" s="8" t="str">
        <f>TRIM(CLEAN(IF(ISERROR(FIND(AC$2,Mail!$A95)),"",MID(Mail!$A95,FIND(AC$2,Mail!$A95)+LEN(AC$2)+1,IF(ISERROR(FIND("■",Mail!$A95,FIND(AC$2,Mail!$A95)+LEN(AC$2))-FIND(AC$2,Mail!$A95)-LEN(AC$2)),LEN(Mail!$A95)-60-FIND(AC$2,Mail!$A95)-LEN(AC$2),FIND("■",Mail!$A95,FIND(AC$2,Mail!$A95)+LEN(AC$2))-FIND(AC$2,Mail!$A95)-LEN(AC$2)-1)))))</f>
        <v/>
      </c>
      <c r="AD97" t="str">
        <f>TRIM(CLEAN(IF(ISERROR(FIND(AD$2,Mail!$A95)),"",MID(Mail!$A95,FIND(AD$2,Mail!$A95)+LEN(AD$2)+1,IF(ISERROR(FIND("■",Mail!$A95,FIND(AD$2,Mail!$A95)+LEN(AD$2))-FIND(AD$2,Mail!$A95)-LEN(AD$2)),LEN(Mail!$A95)-60-FIND(AD$2,Mail!$A95)-LEN(AD$2),FIND("■",Mail!$A95,FIND(AD$2,Mail!$A95)+LEN(AD$2))-FIND(AD$2,Mail!$A95)-LEN(AD$2)-1)))))</f>
        <v/>
      </c>
      <c r="AE97" t="str">
        <f>TRIM(CLEAN(IF(ISERROR(FIND(AE$2,Mail!$A95)),"",MID(Mail!$A95,FIND(AE$2,Mail!$A95)+LEN(AE$2)+1,IF(ISERROR(FIND("■",Mail!$A95,FIND(AE$2,Mail!$A95)+LEN(AE$2))-FIND(AE$2,Mail!$A95)-LEN(AE$2)),LEN(Mail!$A95)-60-FIND(AE$2,Mail!$A95)-LEN(AE$2),FIND("■",Mail!$A95,FIND(AE$2,Mail!$A95)+LEN(AE$2))-FIND(AE$2,Mail!$A95)-LEN(AE$2)-1)))))</f>
        <v/>
      </c>
      <c r="AF97" t="str">
        <f>TRIM(CLEAN(IF(ISERROR(FIND(AF$2,Mail!$A95)),"",MID(Mail!$A95,FIND(AF$2,Mail!$A95)+LEN(AF$2)+1,IF(ISERROR(FIND("■",Mail!$A95,FIND(AF$2,Mail!$A95)+LEN(AF$2))-FIND(AF$2,Mail!$A95)-LEN(AF$2)),LEN(Mail!$A95)-60-FIND(AF$2,Mail!$A95)-LEN(AF$2),FIND("■",Mail!$A95,FIND(AF$2,Mail!$A95)+LEN(AF$2))-FIND(AF$2,Mail!$A95)-LEN(AF$2)-1)))))</f>
        <v/>
      </c>
      <c r="AG97" t="str">
        <f>TRIM(IF(ISERROR(FIND(AG$2,Mail!$A95)),"",MID(Mail!$A95,FIND(AG$2,Mail!$A95)+LEN(AG$2)+1,IF(ISERROR(FIND("■",Mail!$A95,FIND(AG$2,Mail!$A95)+LEN(AG$2))-FIND(AG$2,Mail!$A95)-LEN(AG$2)),LEN(Mail!$A95)-60-FIND(AG$2,Mail!$A95)-LEN(AG$2),FIND("■",Mail!$A95,FIND(AG$2,Mail!$A95)+LEN(AG$2))-FIND(AG$2,Mail!$A95)-LEN(AG$2)-1))))</f>
        <v/>
      </c>
      <c r="AH97" t="str">
        <f>TRIM(IF(ISERROR(FIND(AH$2,Mail!$A95)),"",MID(Mail!$A95,FIND(AH$2,Mail!$A95)+LEN(AH$2)+1,IF(ISERROR(FIND("■",Mail!$A95,FIND(AH$2,Mail!$A95)+LEN(AH$2))-FIND(AH$2,Mail!$A95)-LEN(AH$2)),LEN(Mail!$A95)-60-FIND(AH$2,Mail!$A95)-LEN(AH$2),FIND("■",Mail!$A95,FIND(AH$2,Mail!$A95)+LEN(AH$2))-FIND(AH$2,Mail!$A95)-LEN(AH$2)-1))))</f>
        <v/>
      </c>
      <c r="AI97" t="str">
        <f>TRIM(IF(ISERROR(FIND(AI$2,Mail!$A95)),"",MID(Mail!$A95,FIND(AI$2,Mail!$A95)+LEN(AI$2)+1,IF(ISERROR(FIND("■",Mail!$A95,FIND(AI$2,Mail!$A95)+LEN(AI$2))-FIND(AI$2,Mail!$A95)-LEN(AI$2)),LEN(Mail!$A95)-60-FIND(AI$2,Mail!$A95)-LEN(AI$2),FIND("■",Mail!$A95,FIND(AI$2,Mail!$A95)+LEN(AI$2))-FIND(AI$2,Mail!$A95)-LEN(AI$2)-1))))</f>
        <v/>
      </c>
    </row>
    <row r="98" spans="1:35" x14ac:dyDescent="0.15">
      <c r="A98" s="9" t="str">
        <f t="shared" si="6"/>
        <v/>
      </c>
      <c r="B98" s="8" t="str">
        <f>CLEAN(SUBSTITUTE(IF(ISERROR(FIND("yokohama",Mail!$A96)),"",MID(Mail!$A96,FIND("yokohama",Mail!$A96)+LEN("yokohama")+1,FIND("件目",Mail!$A96,FIND("yokohama",Mail!$A96))-(FIND("yokohama",Mail!$A96)+LEN("yokohama")+1)))," ",""))</f>
        <v/>
      </c>
      <c r="C98" s="2" t="str">
        <f t="shared" si="5"/>
        <v/>
      </c>
      <c r="D98" s="9" t="str">
        <f t="shared" si="7"/>
        <v/>
      </c>
      <c r="E98" s="8" t="str">
        <f t="shared" si="8"/>
        <v/>
      </c>
      <c r="F98" t="str">
        <f>TRIM(CLEAN(IF(ISERROR(FIND(F$2,Mail!$A96)),"",MID(Mail!$A96,FIND(F$2,Mail!$A96)+LEN(F$2)+1,IF(ISERROR(FIND("■",Mail!$A96,FIND(F$2,Mail!$A96)+LEN(F$2))-FIND(F$2,Mail!$A96)-LEN(F$2)),LEN(Mail!$A96)-60-FIND(F$2,Mail!$A96)-LEN(F$2),FIND("■",Mail!$A96,FIND(F$2,Mail!$A96)+LEN(F$2))-FIND(F$2,Mail!$A96)-LEN(F$2)-1)))))</f>
        <v/>
      </c>
      <c r="G98" t="str">
        <f>TRIM(CLEAN(IF(ISERROR(FIND(G$2,Mail!$A96)),"",MID(Mail!$A96,FIND(G$2,Mail!$A96)+LEN(G$2)+1,IF(ISERROR(FIND("■",Mail!$A96,FIND(G$2,Mail!$A96)+LEN(G$2))-FIND(G$2,Mail!$A96)-LEN(G$2)),LEN(Mail!$A96)-60-FIND(G$2,Mail!$A96)-LEN(G$2),FIND("■",Mail!$A96,FIND(G$2,Mail!$A96)+LEN(G$2))-FIND(G$2,Mail!$A96)-LEN(G$2)-1)))))</f>
        <v/>
      </c>
      <c r="H98" s="8" t="str">
        <f>TRIM(CLEAN(IF(ISERROR(FIND(H$2,Mail!$A96)),"",MID(Mail!$A96,FIND(H$2,Mail!$A96)+LEN(H$2)+1,IF(ISERROR(FIND("■",Mail!$A96,FIND(H$2,Mail!$A96)+LEN(H$2))-FIND(H$2,Mail!$A96)-LEN(H$2)),LEN(Mail!$A96)-60-FIND(H$2,Mail!$A96)-LEN(H$2),FIND("■",Mail!$A96,FIND(H$2,Mail!$A96)+LEN(H$2))-FIND(H$2,Mail!$A96)-LEN(H$2)-1)))))</f>
        <v/>
      </c>
      <c r="I98" t="str">
        <f>TRIM(CLEAN(IF(ISERROR(FIND(I$2,Mail!$A96)),"",MID(Mail!$A96,FIND(I$2,Mail!$A96)+LEN(I$2)+1,IF(ISERROR(FIND("■",Mail!$A96,FIND(I$2,Mail!$A96)+LEN(I$2))-FIND(I$2,Mail!$A96)-LEN(I$2)),LEN(Mail!$A96)-60-FIND(I$2,Mail!$A96)-LEN(I$2),FIND("■",Mail!$A96,FIND(I$2,Mail!$A96)+LEN(I$2))-FIND(I$2,Mail!$A96)-LEN(I$2)-1)))))</f>
        <v/>
      </c>
      <c r="J98" t="str">
        <f>TRIM(IF(ISERROR(FIND(J$2,Mail!$A96)),"",MID(Mail!$A96,FIND(J$2,Mail!$A96)+LEN(J$2)+1,IF(ISERROR(FIND("■",Mail!$A96,FIND(J$2,Mail!$A96)+LEN(J$2))-FIND(J$2,Mail!$A96)-LEN(J$2)),LEN(Mail!$A96)-60-FIND(J$2,Mail!$A96)-LEN(J$2),FIND("■",Mail!$A96,FIND(J$2,Mail!$A96)+LEN(J$2))-FIND(J$2,Mail!$A96)-LEN(J$2)-1))))</f>
        <v/>
      </c>
      <c r="K98" t="str">
        <f>TRIM(IF(ISERROR(FIND(K$2,Mail!$A96)),"",MID(Mail!$A96,FIND(K$2,Mail!$A96)+LEN(K$2)+1,IF(ISERROR(FIND("■",Mail!$A96,FIND(K$2,Mail!$A96)+LEN(K$2))-FIND(K$2,Mail!$A96)-LEN(K$2)),LEN(Mail!$A96)-60-FIND(K$2,Mail!$A96)-LEN(K$2),FIND("■",Mail!$A96,FIND(K$2,Mail!$A96)+LEN(K$2))-FIND(K$2,Mail!$A96)-LEN(K$2)-1))))</f>
        <v/>
      </c>
      <c r="L98" t="str">
        <f>TRIM(IF(ISERROR(FIND(L$2,Mail!$A96)),"",MID(Mail!$A96,FIND(L$2,Mail!$A96)+LEN(L$2)+1,IF(ISERROR(FIND("■",Mail!$A96,FIND(L$2,Mail!$A96)+LEN(L$2))-FIND(L$2,Mail!$A96)-LEN(L$2)),LEN(Mail!$A96)-60-FIND(L$2,Mail!$A96)-LEN(L$2),FIND("■",Mail!$A96,FIND(L$2,Mail!$A96)+LEN(L$2))-FIND(L$2,Mail!$A96)-LEN(L$2)-1))))</f>
        <v/>
      </c>
      <c r="M98" t="str">
        <f>TRIM(CLEAN(IF(ISERROR(FIND(M$2,Mail!$A96)),"",MID(Mail!$A96,FIND(M$2,Mail!$A96)+LEN(M$2)+1,IF(ISERROR(FIND("■",Mail!$A96,FIND(M$2,Mail!$A96)+LEN(M$2))-FIND(M$2,Mail!$A96)-LEN(M$2)),LEN(Mail!$A96)-60-FIND(M$2,Mail!$A96)-LEN(M$2),FIND("■",Mail!$A96,FIND(M$2,Mail!$A96)+LEN(M$2))-FIND(M$2,Mail!$A96)-LEN(M$2)-1)))))</f>
        <v/>
      </c>
      <c r="N98" t="str">
        <f>TRIM(CLEAN(IF(ISERROR(FIND(N$2,Mail!$A96)),"",MID(Mail!$A96,FIND(N$2,Mail!$A96)+LEN(N$2)+1,IF(ISERROR(FIND("■",Mail!$A96,FIND(N$2,Mail!$A96)+LEN(N$2))-FIND(N$2,Mail!$A96)-LEN(N$2)),LEN(Mail!$A96)-60-FIND(N$2,Mail!$A96)-LEN(N$2),FIND("■",Mail!$A96,FIND(N$2,Mail!$A96)+LEN(N$2))-FIND(N$2,Mail!$A96)-LEN(N$2)-1)))))</f>
        <v/>
      </c>
      <c r="O98" t="str">
        <f>TRIM(CLEAN(IF(ISERROR(FIND(O$2,Mail!$A96)),"",MID(Mail!$A96,FIND(O$2,Mail!$A96)+LEN(O$2)+1,IF(ISERROR(FIND("■",Mail!$A96,FIND(O$2,Mail!$A96)+LEN(O$2))-FIND(O$2,Mail!$A96)-LEN(O$2)),LEN(Mail!$A96)-60-FIND(O$2,Mail!$A96)-LEN(O$2),FIND("■",Mail!$A96,FIND(O$2,Mail!$A96)+LEN(O$2))-FIND(O$2,Mail!$A96)-LEN(O$2)-1)))))</f>
        <v/>
      </c>
      <c r="P98" t="str">
        <f>TRIM(CLEAN(IF(ISERROR(FIND(P$2,Mail!$A96)),"",MID(Mail!$A96,FIND(P$2,Mail!$A96)+LEN(P$2)+1,IF(ISERROR(FIND("■",Mail!$A96,FIND(P$2,Mail!$A96)+LEN(P$2))-FIND(P$2,Mail!$A96)-LEN(P$2)),LEN(Mail!$A96)-60-FIND(P$2,Mail!$A96)-LEN(P$2),FIND("■",Mail!$A96,FIND(P$2,Mail!$A96)+LEN(P$2))-FIND(P$2,Mail!$A96)-LEN(P$2)-1)))))</f>
        <v/>
      </c>
      <c r="Q98" t="str">
        <f>TRIM(CLEAN(IF(ISERROR(FIND(Q$2,Mail!$A96)),"",MID(Mail!$A96,FIND(Q$2,Mail!$A96)+LEN(Q$2)+1,IF(ISERROR(FIND("■",Mail!$A96,FIND(Q$2,Mail!$A96)+LEN(Q$2))-FIND(Q$2,Mail!$A96)-LEN(Q$2)),LEN(Mail!$A96)-60-FIND(Q$2,Mail!$A96)-LEN(Q$2),FIND("■",Mail!$A96,FIND(Q$2,Mail!$A96)+LEN(Q$2))-FIND(Q$2,Mail!$A96)-LEN(Q$2)-1)))))</f>
        <v/>
      </c>
      <c r="R98" s="8" t="str">
        <f>TRIM(CLEAN(IF(ISERROR(FIND(R$2,Mail!$A96)),"",MID(Mail!$A96,FIND(R$2,Mail!$A96)+LEN(R$2)+1,IF(ISERROR(FIND("■",Mail!$A96,FIND(R$2,Mail!$A96)+LEN(R$2))-FIND(R$2,Mail!$A96)-LEN(R$2)),LEN(Mail!$A96)-60-FIND(R$2,Mail!$A96)-LEN(R$2),FIND("■",Mail!$A96,FIND(R$2,Mail!$A96)+LEN(R$2))-FIND(R$2,Mail!$A96)-LEN(R$2)-1)))))</f>
        <v/>
      </c>
      <c r="S98" t="str">
        <f>TRIM(CLEAN(IF(ISERROR(FIND(S$2,Mail!$A96)),"",MID(Mail!$A96,FIND(S$2,Mail!$A96)+LEN(S$2)+1,IF(ISERROR(FIND("■",Mail!$A96,FIND(S$2,Mail!$A96)+LEN(S$2))-FIND(S$2,Mail!$A96)-LEN(S$2)),LEN(Mail!$A96)-60-FIND(S$2,Mail!$A96)-LEN(S$2),FIND("■",Mail!$A96,FIND(S$2,Mail!$A96)+LEN(S$2))-FIND(S$2,Mail!$A96)-LEN(S$2)-1)))))</f>
        <v/>
      </c>
      <c r="T98" t="str">
        <f>TRIM(CLEAN(IF(ISERROR(FIND(T$2,Mail!$A96)),"",MID(Mail!$A96,FIND(T$2,Mail!$A96)+LEN(T$2)+1,IF(ISERROR(FIND("■",Mail!$A96,FIND(T$2,Mail!$A96)+LEN(T$2))-FIND(T$2,Mail!$A96)-LEN(T$2)),LEN(Mail!$A96)-60-FIND(T$2,Mail!$A96)-LEN(T$2),FIND("■",Mail!$A96,FIND(T$2,Mail!$A96)+LEN(T$2))-FIND(T$2,Mail!$A96)-LEN(T$2)-1)))))</f>
        <v/>
      </c>
      <c r="U98" t="str">
        <f>TRIM(CLEAN(IF(ISERROR(FIND(U$2,Mail!$A96)),"",MID(Mail!$A96,FIND(U$2,Mail!$A96)+LEN(U$2)+1,IF(ISERROR(FIND("■",Mail!$A96,FIND(U$2,Mail!$A96)+LEN(U$2))-FIND(U$2,Mail!$A96)-LEN(U$2)),LEN(Mail!$A96)-60-FIND(U$2,Mail!$A96)-LEN(U$2),FIND("■",Mail!$A96,FIND(U$2,Mail!$A96)+LEN(U$2))-FIND(U$2,Mail!$A96)-LEN(U$2)-1)))))</f>
        <v/>
      </c>
      <c r="V98" t="str">
        <f>TRIM(CLEAN(IF(ISERROR(FIND(V$2,Mail!$A96)),"",MID(Mail!$A96,FIND(V$2,Mail!$A96)+LEN(V$2)+1,IF(ISERROR(FIND("■",Mail!$A96,FIND(V$2,Mail!$A96)+LEN(V$2))-FIND(V$2,Mail!$A96)-LEN(V$2)),LEN(Mail!$A96)-60-FIND(V$2,Mail!$A96)-LEN(V$2),FIND("■",Mail!$A96,FIND(V$2,Mail!$A96)+LEN(V$2))-FIND(V$2,Mail!$A96)-LEN(V$2)-1)))))</f>
        <v/>
      </c>
      <c r="W98" t="str">
        <f>TRIM(CLEAN(IF(ISERROR(FIND(W$2,Mail!$A96)),"",MID(Mail!$A96,FIND(W$2,Mail!$A96)+LEN(W$2)+1,IF(ISERROR(FIND("■",Mail!$A96,FIND(W$2,Mail!$A96)+LEN(W$2))-FIND(W$2,Mail!$A96)-LEN(W$2)),LEN(Mail!$A96)-60-FIND(W$2,Mail!$A96)-LEN(W$2),FIND("■",Mail!$A96,FIND(W$2,Mail!$A96)+LEN(W$2))-FIND(W$2,Mail!$A96)-LEN(W$2)-1)))))</f>
        <v/>
      </c>
      <c r="X98" t="str">
        <f>TRIM(IF(ISERROR(FIND(X$2,Mail!$A96)),"",MID(Mail!$A96,FIND(X$2,Mail!$A96)+LEN(X$2)+1,IF(ISERROR(FIND("■",Mail!$A96,FIND(X$2,Mail!$A96)+LEN(X$2))-FIND(X$2,Mail!$A96)-LEN(X$2)),LEN(Mail!$A96)-60-FIND(X$2,Mail!$A96)-LEN(X$2),FIND("■",Mail!$A96,FIND(X$2,Mail!$A96)+LEN(X$2))-FIND(X$2,Mail!$A96)-LEN(X$2)-1))))</f>
        <v/>
      </c>
      <c r="Y98" t="str">
        <f>TRIM(CLEAN(IF(ISERROR(FIND(Y$2,Mail!$A96)),"",MID(Mail!$A96,FIND(Y$2,Mail!$A96)+LEN(Y$2)+1,IF(ISERROR(FIND("■",Mail!$A96,FIND(Y$2,Mail!$A96)+LEN(Y$2))-FIND(Y$2,Mail!$A96)-LEN(Y$2)),LEN(Mail!$A96)-60-FIND(Y$2,Mail!$A96)-LEN(Y$2),FIND("■",Mail!$A96,FIND(Y$2,Mail!$A96)+LEN(Y$2))-FIND(Y$2,Mail!$A96)-LEN(Y$2)-1)))))</f>
        <v/>
      </c>
      <c r="Z98" t="str">
        <f>TRIM(CLEAN(IF(ISERROR(FIND(Z$2,Mail!$A96)),"",MID(Mail!$A96,FIND(Z$2,Mail!$A96)+LEN(Z$2)+1,IF(ISERROR(FIND("■",Mail!$A96,FIND(Z$2,Mail!$A96)+LEN(Z$2))-FIND(Z$2,Mail!$A96)-LEN(Z$2)),LEN(Mail!$A96)-60-FIND(Z$2,Mail!$A96)-LEN(Z$2),FIND("■",Mail!$A96,FIND(Z$2,Mail!$A96)+LEN(Z$2))-FIND(Z$2,Mail!$A96)-LEN(Z$2)-1)))))</f>
        <v/>
      </c>
      <c r="AA98" t="str">
        <f>TRIM(CLEAN(IF(ISERROR(FIND(AA$2,Mail!$A96)),"",MID(Mail!$A96,FIND(AA$2,Mail!$A96)+LEN(AA$2)+1,IF(ISERROR(FIND("■",Mail!$A96,FIND(AA$2,Mail!$A96)+LEN(AA$2))-FIND(AA$2,Mail!$A96)-LEN(AA$2)),LEN(Mail!$A96)-60-FIND(AA$2,Mail!$A96)-LEN(AA$2),FIND("■",Mail!$A96,FIND(AA$2,Mail!$A96)+LEN(AA$2))-FIND(AA$2,Mail!$A96)-LEN(AA$2)-1)))))</f>
        <v/>
      </c>
      <c r="AB98" t="str">
        <f>TRIM(CLEAN(IF(ISERROR(FIND(AB$2,Mail!$A96)),"",MID(Mail!$A96,FIND(AB$2,Mail!$A96)+LEN(AB$2)+1,IF(ISERROR(FIND("■",Mail!$A96,FIND(AB$2,Mail!$A96)+LEN(AB$2))-FIND(AB$2,Mail!$A96)-LEN(AB$2)),LEN(Mail!$A96)-60-FIND(AB$2,Mail!$A96)-LEN(AB$2),FIND("■",Mail!$A96,FIND(AB$2,Mail!$A96)+LEN(AB$2))-FIND(AB$2,Mail!$A96)-LEN(AB$2)-1)))))</f>
        <v/>
      </c>
      <c r="AC98" s="8" t="str">
        <f>TRIM(CLEAN(IF(ISERROR(FIND(AC$2,Mail!$A96)),"",MID(Mail!$A96,FIND(AC$2,Mail!$A96)+LEN(AC$2)+1,IF(ISERROR(FIND("■",Mail!$A96,FIND(AC$2,Mail!$A96)+LEN(AC$2))-FIND(AC$2,Mail!$A96)-LEN(AC$2)),LEN(Mail!$A96)-60-FIND(AC$2,Mail!$A96)-LEN(AC$2),FIND("■",Mail!$A96,FIND(AC$2,Mail!$A96)+LEN(AC$2))-FIND(AC$2,Mail!$A96)-LEN(AC$2)-1)))))</f>
        <v/>
      </c>
      <c r="AD98" t="str">
        <f>TRIM(CLEAN(IF(ISERROR(FIND(AD$2,Mail!$A96)),"",MID(Mail!$A96,FIND(AD$2,Mail!$A96)+LEN(AD$2)+1,IF(ISERROR(FIND("■",Mail!$A96,FIND(AD$2,Mail!$A96)+LEN(AD$2))-FIND(AD$2,Mail!$A96)-LEN(AD$2)),LEN(Mail!$A96)-60-FIND(AD$2,Mail!$A96)-LEN(AD$2),FIND("■",Mail!$A96,FIND(AD$2,Mail!$A96)+LEN(AD$2))-FIND(AD$2,Mail!$A96)-LEN(AD$2)-1)))))</f>
        <v/>
      </c>
      <c r="AE98" t="str">
        <f>TRIM(CLEAN(IF(ISERROR(FIND(AE$2,Mail!$A96)),"",MID(Mail!$A96,FIND(AE$2,Mail!$A96)+LEN(AE$2)+1,IF(ISERROR(FIND("■",Mail!$A96,FIND(AE$2,Mail!$A96)+LEN(AE$2))-FIND(AE$2,Mail!$A96)-LEN(AE$2)),LEN(Mail!$A96)-60-FIND(AE$2,Mail!$A96)-LEN(AE$2),FIND("■",Mail!$A96,FIND(AE$2,Mail!$A96)+LEN(AE$2))-FIND(AE$2,Mail!$A96)-LEN(AE$2)-1)))))</f>
        <v/>
      </c>
      <c r="AF98" t="str">
        <f>TRIM(CLEAN(IF(ISERROR(FIND(AF$2,Mail!$A96)),"",MID(Mail!$A96,FIND(AF$2,Mail!$A96)+LEN(AF$2)+1,IF(ISERROR(FIND("■",Mail!$A96,FIND(AF$2,Mail!$A96)+LEN(AF$2))-FIND(AF$2,Mail!$A96)-LEN(AF$2)),LEN(Mail!$A96)-60-FIND(AF$2,Mail!$A96)-LEN(AF$2),FIND("■",Mail!$A96,FIND(AF$2,Mail!$A96)+LEN(AF$2))-FIND(AF$2,Mail!$A96)-LEN(AF$2)-1)))))</f>
        <v/>
      </c>
      <c r="AG98" t="str">
        <f>TRIM(IF(ISERROR(FIND(AG$2,Mail!$A96)),"",MID(Mail!$A96,FIND(AG$2,Mail!$A96)+LEN(AG$2)+1,IF(ISERROR(FIND("■",Mail!$A96,FIND(AG$2,Mail!$A96)+LEN(AG$2))-FIND(AG$2,Mail!$A96)-LEN(AG$2)),LEN(Mail!$A96)-60-FIND(AG$2,Mail!$A96)-LEN(AG$2),FIND("■",Mail!$A96,FIND(AG$2,Mail!$A96)+LEN(AG$2))-FIND(AG$2,Mail!$A96)-LEN(AG$2)-1))))</f>
        <v/>
      </c>
      <c r="AH98" t="str">
        <f>TRIM(IF(ISERROR(FIND(AH$2,Mail!$A96)),"",MID(Mail!$A96,FIND(AH$2,Mail!$A96)+LEN(AH$2)+1,IF(ISERROR(FIND("■",Mail!$A96,FIND(AH$2,Mail!$A96)+LEN(AH$2))-FIND(AH$2,Mail!$A96)-LEN(AH$2)),LEN(Mail!$A96)-60-FIND(AH$2,Mail!$A96)-LEN(AH$2),FIND("■",Mail!$A96,FIND(AH$2,Mail!$A96)+LEN(AH$2))-FIND(AH$2,Mail!$A96)-LEN(AH$2)-1))))</f>
        <v/>
      </c>
      <c r="AI98" t="str">
        <f>TRIM(IF(ISERROR(FIND(AI$2,Mail!$A96)),"",MID(Mail!$A96,FIND(AI$2,Mail!$A96)+LEN(AI$2)+1,IF(ISERROR(FIND("■",Mail!$A96,FIND(AI$2,Mail!$A96)+LEN(AI$2))-FIND(AI$2,Mail!$A96)-LEN(AI$2)),LEN(Mail!$A96)-60-FIND(AI$2,Mail!$A96)-LEN(AI$2),FIND("■",Mail!$A96,FIND(AI$2,Mail!$A96)+LEN(AI$2))-FIND(AI$2,Mail!$A96)-LEN(AI$2)-1))))</f>
        <v/>
      </c>
    </row>
    <row r="99" spans="1:35" x14ac:dyDescent="0.15">
      <c r="A99" s="9" t="str">
        <f t="shared" si="6"/>
        <v/>
      </c>
      <c r="B99" s="8" t="str">
        <f>CLEAN(SUBSTITUTE(IF(ISERROR(FIND("yokohama",Mail!$A97)),"",MID(Mail!$A97,FIND("yokohama",Mail!$A97)+LEN("yokohama")+1,FIND("件目",Mail!$A97,FIND("yokohama",Mail!$A97))-(FIND("yokohama",Mail!$A97)+LEN("yokohama")+1)))," ",""))</f>
        <v/>
      </c>
      <c r="C99" s="2" t="str">
        <f t="shared" si="5"/>
        <v/>
      </c>
      <c r="D99" s="9" t="str">
        <f t="shared" si="7"/>
        <v/>
      </c>
      <c r="E99" s="8" t="str">
        <f t="shared" si="8"/>
        <v/>
      </c>
      <c r="F99" t="str">
        <f>TRIM(CLEAN(IF(ISERROR(FIND(F$2,Mail!$A97)),"",MID(Mail!$A97,FIND(F$2,Mail!$A97)+LEN(F$2)+1,IF(ISERROR(FIND("■",Mail!$A97,FIND(F$2,Mail!$A97)+LEN(F$2))-FIND(F$2,Mail!$A97)-LEN(F$2)),LEN(Mail!$A97)-60-FIND(F$2,Mail!$A97)-LEN(F$2),FIND("■",Mail!$A97,FIND(F$2,Mail!$A97)+LEN(F$2))-FIND(F$2,Mail!$A97)-LEN(F$2)-1)))))</f>
        <v/>
      </c>
      <c r="G99" t="str">
        <f>TRIM(CLEAN(IF(ISERROR(FIND(G$2,Mail!$A97)),"",MID(Mail!$A97,FIND(G$2,Mail!$A97)+LEN(G$2)+1,IF(ISERROR(FIND("■",Mail!$A97,FIND(G$2,Mail!$A97)+LEN(G$2))-FIND(G$2,Mail!$A97)-LEN(G$2)),LEN(Mail!$A97)-60-FIND(G$2,Mail!$A97)-LEN(G$2),FIND("■",Mail!$A97,FIND(G$2,Mail!$A97)+LEN(G$2))-FIND(G$2,Mail!$A97)-LEN(G$2)-1)))))</f>
        <v/>
      </c>
      <c r="H99" s="8" t="str">
        <f>TRIM(CLEAN(IF(ISERROR(FIND(H$2,Mail!$A97)),"",MID(Mail!$A97,FIND(H$2,Mail!$A97)+LEN(H$2)+1,IF(ISERROR(FIND("■",Mail!$A97,FIND(H$2,Mail!$A97)+LEN(H$2))-FIND(H$2,Mail!$A97)-LEN(H$2)),LEN(Mail!$A97)-60-FIND(H$2,Mail!$A97)-LEN(H$2),FIND("■",Mail!$A97,FIND(H$2,Mail!$A97)+LEN(H$2))-FIND(H$2,Mail!$A97)-LEN(H$2)-1)))))</f>
        <v/>
      </c>
      <c r="I99" t="str">
        <f>TRIM(CLEAN(IF(ISERROR(FIND(I$2,Mail!$A97)),"",MID(Mail!$A97,FIND(I$2,Mail!$A97)+LEN(I$2)+1,IF(ISERROR(FIND("■",Mail!$A97,FIND(I$2,Mail!$A97)+LEN(I$2))-FIND(I$2,Mail!$A97)-LEN(I$2)),LEN(Mail!$A97)-60-FIND(I$2,Mail!$A97)-LEN(I$2),FIND("■",Mail!$A97,FIND(I$2,Mail!$A97)+LEN(I$2))-FIND(I$2,Mail!$A97)-LEN(I$2)-1)))))</f>
        <v/>
      </c>
      <c r="J99" t="str">
        <f>TRIM(IF(ISERROR(FIND(J$2,Mail!$A97)),"",MID(Mail!$A97,FIND(J$2,Mail!$A97)+LEN(J$2)+1,IF(ISERROR(FIND("■",Mail!$A97,FIND(J$2,Mail!$A97)+LEN(J$2))-FIND(J$2,Mail!$A97)-LEN(J$2)),LEN(Mail!$A97)-60-FIND(J$2,Mail!$A97)-LEN(J$2),FIND("■",Mail!$A97,FIND(J$2,Mail!$A97)+LEN(J$2))-FIND(J$2,Mail!$A97)-LEN(J$2)-1))))</f>
        <v/>
      </c>
      <c r="K99" t="str">
        <f>TRIM(IF(ISERROR(FIND(K$2,Mail!$A97)),"",MID(Mail!$A97,FIND(K$2,Mail!$A97)+LEN(K$2)+1,IF(ISERROR(FIND("■",Mail!$A97,FIND(K$2,Mail!$A97)+LEN(K$2))-FIND(K$2,Mail!$A97)-LEN(K$2)),LEN(Mail!$A97)-60-FIND(K$2,Mail!$A97)-LEN(K$2),FIND("■",Mail!$A97,FIND(K$2,Mail!$A97)+LEN(K$2))-FIND(K$2,Mail!$A97)-LEN(K$2)-1))))</f>
        <v/>
      </c>
      <c r="L99" t="str">
        <f>TRIM(IF(ISERROR(FIND(L$2,Mail!$A97)),"",MID(Mail!$A97,FIND(L$2,Mail!$A97)+LEN(L$2)+1,IF(ISERROR(FIND("■",Mail!$A97,FIND(L$2,Mail!$A97)+LEN(L$2))-FIND(L$2,Mail!$A97)-LEN(L$2)),LEN(Mail!$A97)-60-FIND(L$2,Mail!$A97)-LEN(L$2),FIND("■",Mail!$A97,FIND(L$2,Mail!$A97)+LEN(L$2))-FIND(L$2,Mail!$A97)-LEN(L$2)-1))))</f>
        <v/>
      </c>
      <c r="M99" t="str">
        <f>TRIM(CLEAN(IF(ISERROR(FIND(M$2,Mail!$A97)),"",MID(Mail!$A97,FIND(M$2,Mail!$A97)+LEN(M$2)+1,IF(ISERROR(FIND("■",Mail!$A97,FIND(M$2,Mail!$A97)+LEN(M$2))-FIND(M$2,Mail!$A97)-LEN(M$2)),LEN(Mail!$A97)-60-FIND(M$2,Mail!$A97)-LEN(M$2),FIND("■",Mail!$A97,FIND(M$2,Mail!$A97)+LEN(M$2))-FIND(M$2,Mail!$A97)-LEN(M$2)-1)))))</f>
        <v/>
      </c>
      <c r="N99" t="str">
        <f>TRIM(CLEAN(IF(ISERROR(FIND(N$2,Mail!$A97)),"",MID(Mail!$A97,FIND(N$2,Mail!$A97)+LEN(N$2)+1,IF(ISERROR(FIND("■",Mail!$A97,FIND(N$2,Mail!$A97)+LEN(N$2))-FIND(N$2,Mail!$A97)-LEN(N$2)),LEN(Mail!$A97)-60-FIND(N$2,Mail!$A97)-LEN(N$2),FIND("■",Mail!$A97,FIND(N$2,Mail!$A97)+LEN(N$2))-FIND(N$2,Mail!$A97)-LEN(N$2)-1)))))</f>
        <v/>
      </c>
      <c r="O99" t="str">
        <f>TRIM(CLEAN(IF(ISERROR(FIND(O$2,Mail!$A97)),"",MID(Mail!$A97,FIND(O$2,Mail!$A97)+LEN(O$2)+1,IF(ISERROR(FIND("■",Mail!$A97,FIND(O$2,Mail!$A97)+LEN(O$2))-FIND(O$2,Mail!$A97)-LEN(O$2)),LEN(Mail!$A97)-60-FIND(O$2,Mail!$A97)-LEN(O$2),FIND("■",Mail!$A97,FIND(O$2,Mail!$A97)+LEN(O$2))-FIND(O$2,Mail!$A97)-LEN(O$2)-1)))))</f>
        <v/>
      </c>
      <c r="P99" t="str">
        <f>TRIM(CLEAN(IF(ISERROR(FIND(P$2,Mail!$A97)),"",MID(Mail!$A97,FIND(P$2,Mail!$A97)+LEN(P$2)+1,IF(ISERROR(FIND("■",Mail!$A97,FIND(P$2,Mail!$A97)+LEN(P$2))-FIND(P$2,Mail!$A97)-LEN(P$2)),LEN(Mail!$A97)-60-FIND(P$2,Mail!$A97)-LEN(P$2),FIND("■",Mail!$A97,FIND(P$2,Mail!$A97)+LEN(P$2))-FIND(P$2,Mail!$A97)-LEN(P$2)-1)))))</f>
        <v/>
      </c>
      <c r="Q99" t="str">
        <f>TRIM(CLEAN(IF(ISERROR(FIND(Q$2,Mail!$A97)),"",MID(Mail!$A97,FIND(Q$2,Mail!$A97)+LEN(Q$2)+1,IF(ISERROR(FIND("■",Mail!$A97,FIND(Q$2,Mail!$A97)+LEN(Q$2))-FIND(Q$2,Mail!$A97)-LEN(Q$2)),LEN(Mail!$A97)-60-FIND(Q$2,Mail!$A97)-LEN(Q$2),FIND("■",Mail!$A97,FIND(Q$2,Mail!$A97)+LEN(Q$2))-FIND(Q$2,Mail!$A97)-LEN(Q$2)-1)))))</f>
        <v/>
      </c>
      <c r="R99" s="8" t="str">
        <f>TRIM(CLEAN(IF(ISERROR(FIND(R$2,Mail!$A97)),"",MID(Mail!$A97,FIND(R$2,Mail!$A97)+LEN(R$2)+1,IF(ISERROR(FIND("■",Mail!$A97,FIND(R$2,Mail!$A97)+LEN(R$2))-FIND(R$2,Mail!$A97)-LEN(R$2)),LEN(Mail!$A97)-60-FIND(R$2,Mail!$A97)-LEN(R$2),FIND("■",Mail!$A97,FIND(R$2,Mail!$A97)+LEN(R$2))-FIND(R$2,Mail!$A97)-LEN(R$2)-1)))))</f>
        <v/>
      </c>
      <c r="S99" t="str">
        <f>TRIM(CLEAN(IF(ISERROR(FIND(S$2,Mail!$A97)),"",MID(Mail!$A97,FIND(S$2,Mail!$A97)+LEN(S$2)+1,IF(ISERROR(FIND("■",Mail!$A97,FIND(S$2,Mail!$A97)+LEN(S$2))-FIND(S$2,Mail!$A97)-LEN(S$2)),LEN(Mail!$A97)-60-FIND(S$2,Mail!$A97)-LEN(S$2),FIND("■",Mail!$A97,FIND(S$2,Mail!$A97)+LEN(S$2))-FIND(S$2,Mail!$A97)-LEN(S$2)-1)))))</f>
        <v/>
      </c>
      <c r="T99" t="str">
        <f>TRIM(CLEAN(IF(ISERROR(FIND(T$2,Mail!$A97)),"",MID(Mail!$A97,FIND(T$2,Mail!$A97)+LEN(T$2)+1,IF(ISERROR(FIND("■",Mail!$A97,FIND(T$2,Mail!$A97)+LEN(T$2))-FIND(T$2,Mail!$A97)-LEN(T$2)),LEN(Mail!$A97)-60-FIND(T$2,Mail!$A97)-LEN(T$2),FIND("■",Mail!$A97,FIND(T$2,Mail!$A97)+LEN(T$2))-FIND(T$2,Mail!$A97)-LEN(T$2)-1)))))</f>
        <v/>
      </c>
      <c r="U99" t="str">
        <f>TRIM(CLEAN(IF(ISERROR(FIND(U$2,Mail!$A97)),"",MID(Mail!$A97,FIND(U$2,Mail!$A97)+LEN(U$2)+1,IF(ISERROR(FIND("■",Mail!$A97,FIND(U$2,Mail!$A97)+LEN(U$2))-FIND(U$2,Mail!$A97)-LEN(U$2)),LEN(Mail!$A97)-60-FIND(U$2,Mail!$A97)-LEN(U$2),FIND("■",Mail!$A97,FIND(U$2,Mail!$A97)+LEN(U$2))-FIND(U$2,Mail!$A97)-LEN(U$2)-1)))))</f>
        <v/>
      </c>
      <c r="V99" t="str">
        <f>TRIM(CLEAN(IF(ISERROR(FIND(V$2,Mail!$A97)),"",MID(Mail!$A97,FIND(V$2,Mail!$A97)+LEN(V$2)+1,IF(ISERROR(FIND("■",Mail!$A97,FIND(V$2,Mail!$A97)+LEN(V$2))-FIND(V$2,Mail!$A97)-LEN(V$2)),LEN(Mail!$A97)-60-FIND(V$2,Mail!$A97)-LEN(V$2),FIND("■",Mail!$A97,FIND(V$2,Mail!$A97)+LEN(V$2))-FIND(V$2,Mail!$A97)-LEN(V$2)-1)))))</f>
        <v/>
      </c>
      <c r="W99" t="str">
        <f>TRIM(CLEAN(IF(ISERROR(FIND(W$2,Mail!$A97)),"",MID(Mail!$A97,FIND(W$2,Mail!$A97)+LEN(W$2)+1,IF(ISERROR(FIND("■",Mail!$A97,FIND(W$2,Mail!$A97)+LEN(W$2))-FIND(W$2,Mail!$A97)-LEN(W$2)),LEN(Mail!$A97)-60-FIND(W$2,Mail!$A97)-LEN(W$2),FIND("■",Mail!$A97,FIND(W$2,Mail!$A97)+LEN(W$2))-FIND(W$2,Mail!$A97)-LEN(W$2)-1)))))</f>
        <v/>
      </c>
      <c r="X99" t="str">
        <f>TRIM(IF(ISERROR(FIND(X$2,Mail!$A97)),"",MID(Mail!$A97,FIND(X$2,Mail!$A97)+LEN(X$2)+1,IF(ISERROR(FIND("■",Mail!$A97,FIND(X$2,Mail!$A97)+LEN(X$2))-FIND(X$2,Mail!$A97)-LEN(X$2)),LEN(Mail!$A97)-60-FIND(X$2,Mail!$A97)-LEN(X$2),FIND("■",Mail!$A97,FIND(X$2,Mail!$A97)+LEN(X$2))-FIND(X$2,Mail!$A97)-LEN(X$2)-1))))</f>
        <v/>
      </c>
      <c r="Y99" t="str">
        <f>TRIM(CLEAN(IF(ISERROR(FIND(Y$2,Mail!$A97)),"",MID(Mail!$A97,FIND(Y$2,Mail!$A97)+LEN(Y$2)+1,IF(ISERROR(FIND("■",Mail!$A97,FIND(Y$2,Mail!$A97)+LEN(Y$2))-FIND(Y$2,Mail!$A97)-LEN(Y$2)),LEN(Mail!$A97)-60-FIND(Y$2,Mail!$A97)-LEN(Y$2),FIND("■",Mail!$A97,FIND(Y$2,Mail!$A97)+LEN(Y$2))-FIND(Y$2,Mail!$A97)-LEN(Y$2)-1)))))</f>
        <v/>
      </c>
      <c r="Z99" t="str">
        <f>TRIM(CLEAN(IF(ISERROR(FIND(Z$2,Mail!$A97)),"",MID(Mail!$A97,FIND(Z$2,Mail!$A97)+LEN(Z$2)+1,IF(ISERROR(FIND("■",Mail!$A97,FIND(Z$2,Mail!$A97)+LEN(Z$2))-FIND(Z$2,Mail!$A97)-LEN(Z$2)),LEN(Mail!$A97)-60-FIND(Z$2,Mail!$A97)-LEN(Z$2),FIND("■",Mail!$A97,FIND(Z$2,Mail!$A97)+LEN(Z$2))-FIND(Z$2,Mail!$A97)-LEN(Z$2)-1)))))</f>
        <v/>
      </c>
      <c r="AA99" t="str">
        <f>TRIM(CLEAN(IF(ISERROR(FIND(AA$2,Mail!$A97)),"",MID(Mail!$A97,FIND(AA$2,Mail!$A97)+LEN(AA$2)+1,IF(ISERROR(FIND("■",Mail!$A97,FIND(AA$2,Mail!$A97)+LEN(AA$2))-FIND(AA$2,Mail!$A97)-LEN(AA$2)),LEN(Mail!$A97)-60-FIND(AA$2,Mail!$A97)-LEN(AA$2),FIND("■",Mail!$A97,FIND(AA$2,Mail!$A97)+LEN(AA$2))-FIND(AA$2,Mail!$A97)-LEN(AA$2)-1)))))</f>
        <v/>
      </c>
      <c r="AB99" t="str">
        <f>TRIM(CLEAN(IF(ISERROR(FIND(AB$2,Mail!$A97)),"",MID(Mail!$A97,FIND(AB$2,Mail!$A97)+LEN(AB$2)+1,IF(ISERROR(FIND("■",Mail!$A97,FIND(AB$2,Mail!$A97)+LEN(AB$2))-FIND(AB$2,Mail!$A97)-LEN(AB$2)),LEN(Mail!$A97)-60-FIND(AB$2,Mail!$A97)-LEN(AB$2),FIND("■",Mail!$A97,FIND(AB$2,Mail!$A97)+LEN(AB$2))-FIND(AB$2,Mail!$A97)-LEN(AB$2)-1)))))</f>
        <v/>
      </c>
      <c r="AC99" s="8" t="str">
        <f>TRIM(CLEAN(IF(ISERROR(FIND(AC$2,Mail!$A97)),"",MID(Mail!$A97,FIND(AC$2,Mail!$A97)+LEN(AC$2)+1,IF(ISERROR(FIND("■",Mail!$A97,FIND(AC$2,Mail!$A97)+LEN(AC$2))-FIND(AC$2,Mail!$A97)-LEN(AC$2)),LEN(Mail!$A97)-60-FIND(AC$2,Mail!$A97)-LEN(AC$2),FIND("■",Mail!$A97,FIND(AC$2,Mail!$A97)+LEN(AC$2))-FIND(AC$2,Mail!$A97)-LEN(AC$2)-1)))))</f>
        <v/>
      </c>
      <c r="AD99" t="str">
        <f>TRIM(CLEAN(IF(ISERROR(FIND(AD$2,Mail!$A97)),"",MID(Mail!$A97,FIND(AD$2,Mail!$A97)+LEN(AD$2)+1,IF(ISERROR(FIND("■",Mail!$A97,FIND(AD$2,Mail!$A97)+LEN(AD$2))-FIND(AD$2,Mail!$A97)-LEN(AD$2)),LEN(Mail!$A97)-60-FIND(AD$2,Mail!$A97)-LEN(AD$2),FIND("■",Mail!$A97,FIND(AD$2,Mail!$A97)+LEN(AD$2))-FIND(AD$2,Mail!$A97)-LEN(AD$2)-1)))))</f>
        <v/>
      </c>
      <c r="AE99" t="str">
        <f>TRIM(CLEAN(IF(ISERROR(FIND(AE$2,Mail!$A97)),"",MID(Mail!$A97,FIND(AE$2,Mail!$A97)+LEN(AE$2)+1,IF(ISERROR(FIND("■",Mail!$A97,FIND(AE$2,Mail!$A97)+LEN(AE$2))-FIND(AE$2,Mail!$A97)-LEN(AE$2)),LEN(Mail!$A97)-60-FIND(AE$2,Mail!$A97)-LEN(AE$2),FIND("■",Mail!$A97,FIND(AE$2,Mail!$A97)+LEN(AE$2))-FIND(AE$2,Mail!$A97)-LEN(AE$2)-1)))))</f>
        <v/>
      </c>
      <c r="AF99" t="str">
        <f>TRIM(CLEAN(IF(ISERROR(FIND(AF$2,Mail!$A97)),"",MID(Mail!$A97,FIND(AF$2,Mail!$A97)+LEN(AF$2)+1,IF(ISERROR(FIND("■",Mail!$A97,FIND(AF$2,Mail!$A97)+LEN(AF$2))-FIND(AF$2,Mail!$A97)-LEN(AF$2)),LEN(Mail!$A97)-60-FIND(AF$2,Mail!$A97)-LEN(AF$2),FIND("■",Mail!$A97,FIND(AF$2,Mail!$A97)+LEN(AF$2))-FIND(AF$2,Mail!$A97)-LEN(AF$2)-1)))))</f>
        <v/>
      </c>
      <c r="AG99" t="str">
        <f>TRIM(IF(ISERROR(FIND(AG$2,Mail!$A97)),"",MID(Mail!$A97,FIND(AG$2,Mail!$A97)+LEN(AG$2)+1,IF(ISERROR(FIND("■",Mail!$A97,FIND(AG$2,Mail!$A97)+LEN(AG$2))-FIND(AG$2,Mail!$A97)-LEN(AG$2)),LEN(Mail!$A97)-60-FIND(AG$2,Mail!$A97)-LEN(AG$2),FIND("■",Mail!$A97,FIND(AG$2,Mail!$A97)+LEN(AG$2))-FIND(AG$2,Mail!$A97)-LEN(AG$2)-1))))</f>
        <v/>
      </c>
      <c r="AH99" t="str">
        <f>TRIM(IF(ISERROR(FIND(AH$2,Mail!$A97)),"",MID(Mail!$A97,FIND(AH$2,Mail!$A97)+LEN(AH$2)+1,IF(ISERROR(FIND("■",Mail!$A97,FIND(AH$2,Mail!$A97)+LEN(AH$2))-FIND(AH$2,Mail!$A97)-LEN(AH$2)),LEN(Mail!$A97)-60-FIND(AH$2,Mail!$A97)-LEN(AH$2),FIND("■",Mail!$A97,FIND(AH$2,Mail!$A97)+LEN(AH$2))-FIND(AH$2,Mail!$A97)-LEN(AH$2)-1))))</f>
        <v/>
      </c>
      <c r="AI99" t="str">
        <f>TRIM(IF(ISERROR(FIND(AI$2,Mail!$A97)),"",MID(Mail!$A97,FIND(AI$2,Mail!$A97)+LEN(AI$2)+1,IF(ISERROR(FIND("■",Mail!$A97,FIND(AI$2,Mail!$A97)+LEN(AI$2))-FIND(AI$2,Mail!$A97)-LEN(AI$2)),LEN(Mail!$A97)-60-FIND(AI$2,Mail!$A97)-LEN(AI$2),FIND("■",Mail!$A97,FIND(AI$2,Mail!$A97)+LEN(AI$2))-FIND(AI$2,Mail!$A97)-LEN(AI$2)-1))))</f>
        <v/>
      </c>
    </row>
    <row r="100" spans="1:35" x14ac:dyDescent="0.15">
      <c r="A100" s="9" t="str">
        <f t="shared" si="6"/>
        <v/>
      </c>
      <c r="B100" s="8" t="str">
        <f>CLEAN(SUBSTITUTE(IF(ISERROR(FIND("yokohama",Mail!$A98)),"",MID(Mail!$A98,FIND("yokohama",Mail!$A98)+LEN("yokohama")+1,FIND("件目",Mail!$A98,FIND("yokohama",Mail!$A98))-(FIND("yokohama",Mail!$A98)+LEN("yokohama")+1)))," ",""))</f>
        <v/>
      </c>
      <c r="C100" s="2" t="str">
        <f t="shared" ref="C100:C111" si="9">IF($A100="","",IF($S100="住所と同じ",$O100,$T100))</f>
        <v/>
      </c>
      <c r="D100" s="9" t="str">
        <f t="shared" si="7"/>
        <v/>
      </c>
      <c r="E100" s="8" t="str">
        <f t="shared" si="8"/>
        <v/>
      </c>
      <c r="F100" t="str">
        <f>TRIM(CLEAN(IF(ISERROR(FIND(F$2,Mail!$A98)),"",MID(Mail!$A98,FIND(F$2,Mail!$A98)+LEN(F$2)+1,IF(ISERROR(FIND("■",Mail!$A98,FIND(F$2,Mail!$A98)+LEN(F$2))-FIND(F$2,Mail!$A98)-LEN(F$2)),LEN(Mail!$A98)-60-FIND(F$2,Mail!$A98)-LEN(F$2),FIND("■",Mail!$A98,FIND(F$2,Mail!$A98)+LEN(F$2))-FIND(F$2,Mail!$A98)-LEN(F$2)-1)))))</f>
        <v/>
      </c>
      <c r="G100" t="str">
        <f>TRIM(CLEAN(IF(ISERROR(FIND(G$2,Mail!$A98)),"",MID(Mail!$A98,FIND(G$2,Mail!$A98)+LEN(G$2)+1,IF(ISERROR(FIND("■",Mail!$A98,FIND(G$2,Mail!$A98)+LEN(G$2))-FIND(G$2,Mail!$A98)-LEN(G$2)),LEN(Mail!$A98)-60-FIND(G$2,Mail!$A98)-LEN(G$2),FIND("■",Mail!$A98,FIND(G$2,Mail!$A98)+LEN(G$2))-FIND(G$2,Mail!$A98)-LEN(G$2)-1)))))</f>
        <v/>
      </c>
      <c r="H100" s="8" t="str">
        <f>TRIM(CLEAN(IF(ISERROR(FIND(H$2,Mail!$A98)),"",MID(Mail!$A98,FIND(H$2,Mail!$A98)+LEN(H$2)+1,IF(ISERROR(FIND("■",Mail!$A98,FIND(H$2,Mail!$A98)+LEN(H$2))-FIND(H$2,Mail!$A98)-LEN(H$2)),LEN(Mail!$A98)-60-FIND(H$2,Mail!$A98)-LEN(H$2),FIND("■",Mail!$A98,FIND(H$2,Mail!$A98)+LEN(H$2))-FIND(H$2,Mail!$A98)-LEN(H$2)-1)))))</f>
        <v/>
      </c>
      <c r="I100" t="str">
        <f>TRIM(CLEAN(IF(ISERROR(FIND(I$2,Mail!$A98)),"",MID(Mail!$A98,FIND(I$2,Mail!$A98)+LEN(I$2)+1,IF(ISERROR(FIND("■",Mail!$A98,FIND(I$2,Mail!$A98)+LEN(I$2))-FIND(I$2,Mail!$A98)-LEN(I$2)),LEN(Mail!$A98)-60-FIND(I$2,Mail!$A98)-LEN(I$2),FIND("■",Mail!$A98,FIND(I$2,Mail!$A98)+LEN(I$2))-FIND(I$2,Mail!$A98)-LEN(I$2)-1)))))</f>
        <v/>
      </c>
      <c r="J100" t="str">
        <f>TRIM(IF(ISERROR(FIND(J$2,Mail!$A98)),"",MID(Mail!$A98,FIND(J$2,Mail!$A98)+LEN(J$2)+1,IF(ISERROR(FIND("■",Mail!$A98,FIND(J$2,Mail!$A98)+LEN(J$2))-FIND(J$2,Mail!$A98)-LEN(J$2)),LEN(Mail!$A98)-60-FIND(J$2,Mail!$A98)-LEN(J$2),FIND("■",Mail!$A98,FIND(J$2,Mail!$A98)+LEN(J$2))-FIND(J$2,Mail!$A98)-LEN(J$2)-1))))</f>
        <v/>
      </c>
      <c r="K100" t="str">
        <f>TRIM(IF(ISERROR(FIND(K$2,Mail!$A98)),"",MID(Mail!$A98,FIND(K$2,Mail!$A98)+LEN(K$2)+1,IF(ISERROR(FIND("■",Mail!$A98,FIND(K$2,Mail!$A98)+LEN(K$2))-FIND(K$2,Mail!$A98)-LEN(K$2)),LEN(Mail!$A98)-60-FIND(K$2,Mail!$A98)-LEN(K$2),FIND("■",Mail!$A98,FIND(K$2,Mail!$A98)+LEN(K$2))-FIND(K$2,Mail!$A98)-LEN(K$2)-1))))</f>
        <v/>
      </c>
      <c r="L100" t="str">
        <f>TRIM(IF(ISERROR(FIND(L$2,Mail!$A98)),"",MID(Mail!$A98,FIND(L$2,Mail!$A98)+LEN(L$2)+1,IF(ISERROR(FIND("■",Mail!$A98,FIND(L$2,Mail!$A98)+LEN(L$2))-FIND(L$2,Mail!$A98)-LEN(L$2)),LEN(Mail!$A98)-60-FIND(L$2,Mail!$A98)-LEN(L$2),FIND("■",Mail!$A98,FIND(L$2,Mail!$A98)+LEN(L$2))-FIND(L$2,Mail!$A98)-LEN(L$2)-1))))</f>
        <v/>
      </c>
      <c r="M100" t="str">
        <f>TRIM(CLEAN(IF(ISERROR(FIND(M$2,Mail!$A98)),"",MID(Mail!$A98,FIND(M$2,Mail!$A98)+LEN(M$2)+1,IF(ISERROR(FIND("■",Mail!$A98,FIND(M$2,Mail!$A98)+LEN(M$2))-FIND(M$2,Mail!$A98)-LEN(M$2)),LEN(Mail!$A98)-60-FIND(M$2,Mail!$A98)-LEN(M$2),FIND("■",Mail!$A98,FIND(M$2,Mail!$A98)+LEN(M$2))-FIND(M$2,Mail!$A98)-LEN(M$2)-1)))))</f>
        <v/>
      </c>
      <c r="N100" t="str">
        <f>TRIM(CLEAN(IF(ISERROR(FIND(N$2,Mail!$A98)),"",MID(Mail!$A98,FIND(N$2,Mail!$A98)+LEN(N$2)+1,IF(ISERROR(FIND("■",Mail!$A98,FIND(N$2,Mail!$A98)+LEN(N$2))-FIND(N$2,Mail!$A98)-LEN(N$2)),LEN(Mail!$A98)-60-FIND(N$2,Mail!$A98)-LEN(N$2),FIND("■",Mail!$A98,FIND(N$2,Mail!$A98)+LEN(N$2))-FIND(N$2,Mail!$A98)-LEN(N$2)-1)))))</f>
        <v/>
      </c>
      <c r="O100" t="str">
        <f>TRIM(CLEAN(IF(ISERROR(FIND(O$2,Mail!$A98)),"",MID(Mail!$A98,FIND(O$2,Mail!$A98)+LEN(O$2)+1,IF(ISERROR(FIND("■",Mail!$A98,FIND(O$2,Mail!$A98)+LEN(O$2))-FIND(O$2,Mail!$A98)-LEN(O$2)),LEN(Mail!$A98)-60-FIND(O$2,Mail!$A98)-LEN(O$2),FIND("■",Mail!$A98,FIND(O$2,Mail!$A98)+LEN(O$2))-FIND(O$2,Mail!$A98)-LEN(O$2)-1)))))</f>
        <v/>
      </c>
      <c r="P100" t="str">
        <f>TRIM(CLEAN(IF(ISERROR(FIND(P$2,Mail!$A98)),"",MID(Mail!$A98,FIND(P$2,Mail!$A98)+LEN(P$2)+1,IF(ISERROR(FIND("■",Mail!$A98,FIND(P$2,Mail!$A98)+LEN(P$2))-FIND(P$2,Mail!$A98)-LEN(P$2)),LEN(Mail!$A98)-60-FIND(P$2,Mail!$A98)-LEN(P$2),FIND("■",Mail!$A98,FIND(P$2,Mail!$A98)+LEN(P$2))-FIND(P$2,Mail!$A98)-LEN(P$2)-1)))))</f>
        <v/>
      </c>
      <c r="Q100" t="str">
        <f>TRIM(CLEAN(IF(ISERROR(FIND(Q$2,Mail!$A98)),"",MID(Mail!$A98,FIND(Q$2,Mail!$A98)+LEN(Q$2)+1,IF(ISERROR(FIND("■",Mail!$A98,FIND(Q$2,Mail!$A98)+LEN(Q$2))-FIND(Q$2,Mail!$A98)-LEN(Q$2)),LEN(Mail!$A98)-60-FIND(Q$2,Mail!$A98)-LEN(Q$2),FIND("■",Mail!$A98,FIND(Q$2,Mail!$A98)+LEN(Q$2))-FIND(Q$2,Mail!$A98)-LEN(Q$2)-1)))))</f>
        <v/>
      </c>
      <c r="R100" s="8" t="str">
        <f>TRIM(CLEAN(IF(ISERROR(FIND(R$2,Mail!$A98)),"",MID(Mail!$A98,FIND(R$2,Mail!$A98)+LEN(R$2)+1,IF(ISERROR(FIND("■",Mail!$A98,FIND(R$2,Mail!$A98)+LEN(R$2))-FIND(R$2,Mail!$A98)-LEN(R$2)),LEN(Mail!$A98)-60-FIND(R$2,Mail!$A98)-LEN(R$2),FIND("■",Mail!$A98,FIND(R$2,Mail!$A98)+LEN(R$2))-FIND(R$2,Mail!$A98)-LEN(R$2)-1)))))</f>
        <v/>
      </c>
      <c r="S100" t="str">
        <f>TRIM(CLEAN(IF(ISERROR(FIND(S$2,Mail!$A98)),"",MID(Mail!$A98,FIND(S$2,Mail!$A98)+LEN(S$2)+1,IF(ISERROR(FIND("■",Mail!$A98,FIND(S$2,Mail!$A98)+LEN(S$2))-FIND(S$2,Mail!$A98)-LEN(S$2)),LEN(Mail!$A98)-60-FIND(S$2,Mail!$A98)-LEN(S$2),FIND("■",Mail!$A98,FIND(S$2,Mail!$A98)+LEN(S$2))-FIND(S$2,Mail!$A98)-LEN(S$2)-1)))))</f>
        <v/>
      </c>
      <c r="T100" t="str">
        <f>TRIM(CLEAN(IF(ISERROR(FIND(T$2,Mail!$A98)),"",MID(Mail!$A98,FIND(T$2,Mail!$A98)+LEN(T$2)+1,IF(ISERROR(FIND("■",Mail!$A98,FIND(T$2,Mail!$A98)+LEN(T$2))-FIND(T$2,Mail!$A98)-LEN(T$2)),LEN(Mail!$A98)-60-FIND(T$2,Mail!$A98)-LEN(T$2),FIND("■",Mail!$A98,FIND(T$2,Mail!$A98)+LEN(T$2))-FIND(T$2,Mail!$A98)-LEN(T$2)-1)))))</f>
        <v/>
      </c>
      <c r="U100" t="str">
        <f>TRIM(CLEAN(IF(ISERROR(FIND(U$2,Mail!$A98)),"",MID(Mail!$A98,FIND(U$2,Mail!$A98)+LEN(U$2)+1,IF(ISERROR(FIND("■",Mail!$A98,FIND(U$2,Mail!$A98)+LEN(U$2))-FIND(U$2,Mail!$A98)-LEN(U$2)),LEN(Mail!$A98)-60-FIND(U$2,Mail!$A98)-LEN(U$2),FIND("■",Mail!$A98,FIND(U$2,Mail!$A98)+LEN(U$2))-FIND(U$2,Mail!$A98)-LEN(U$2)-1)))))</f>
        <v/>
      </c>
      <c r="V100" t="str">
        <f>TRIM(CLEAN(IF(ISERROR(FIND(V$2,Mail!$A98)),"",MID(Mail!$A98,FIND(V$2,Mail!$A98)+LEN(V$2)+1,IF(ISERROR(FIND("■",Mail!$A98,FIND(V$2,Mail!$A98)+LEN(V$2))-FIND(V$2,Mail!$A98)-LEN(V$2)),LEN(Mail!$A98)-60-FIND(V$2,Mail!$A98)-LEN(V$2),FIND("■",Mail!$A98,FIND(V$2,Mail!$A98)+LEN(V$2))-FIND(V$2,Mail!$A98)-LEN(V$2)-1)))))</f>
        <v/>
      </c>
      <c r="W100" t="str">
        <f>TRIM(CLEAN(IF(ISERROR(FIND(W$2,Mail!$A98)),"",MID(Mail!$A98,FIND(W$2,Mail!$A98)+LEN(W$2)+1,IF(ISERROR(FIND("■",Mail!$A98,FIND(W$2,Mail!$A98)+LEN(W$2))-FIND(W$2,Mail!$A98)-LEN(W$2)),LEN(Mail!$A98)-60-FIND(W$2,Mail!$A98)-LEN(W$2),FIND("■",Mail!$A98,FIND(W$2,Mail!$A98)+LEN(W$2))-FIND(W$2,Mail!$A98)-LEN(W$2)-1)))))</f>
        <v/>
      </c>
      <c r="X100" t="str">
        <f>TRIM(IF(ISERROR(FIND(X$2,Mail!$A98)),"",MID(Mail!$A98,FIND(X$2,Mail!$A98)+LEN(X$2)+1,IF(ISERROR(FIND("■",Mail!$A98,FIND(X$2,Mail!$A98)+LEN(X$2))-FIND(X$2,Mail!$A98)-LEN(X$2)),LEN(Mail!$A98)-60-FIND(X$2,Mail!$A98)-LEN(X$2),FIND("■",Mail!$A98,FIND(X$2,Mail!$A98)+LEN(X$2))-FIND(X$2,Mail!$A98)-LEN(X$2)-1))))</f>
        <v/>
      </c>
      <c r="Y100" t="str">
        <f>TRIM(CLEAN(IF(ISERROR(FIND(Y$2,Mail!$A98)),"",MID(Mail!$A98,FIND(Y$2,Mail!$A98)+LEN(Y$2)+1,IF(ISERROR(FIND("■",Mail!$A98,FIND(Y$2,Mail!$A98)+LEN(Y$2))-FIND(Y$2,Mail!$A98)-LEN(Y$2)),LEN(Mail!$A98)-60-FIND(Y$2,Mail!$A98)-LEN(Y$2),FIND("■",Mail!$A98,FIND(Y$2,Mail!$A98)+LEN(Y$2))-FIND(Y$2,Mail!$A98)-LEN(Y$2)-1)))))</f>
        <v/>
      </c>
      <c r="Z100" t="str">
        <f>TRIM(CLEAN(IF(ISERROR(FIND(Z$2,Mail!$A98)),"",MID(Mail!$A98,FIND(Z$2,Mail!$A98)+LEN(Z$2)+1,IF(ISERROR(FIND("■",Mail!$A98,FIND(Z$2,Mail!$A98)+LEN(Z$2))-FIND(Z$2,Mail!$A98)-LEN(Z$2)),LEN(Mail!$A98)-60-FIND(Z$2,Mail!$A98)-LEN(Z$2),FIND("■",Mail!$A98,FIND(Z$2,Mail!$A98)+LEN(Z$2))-FIND(Z$2,Mail!$A98)-LEN(Z$2)-1)))))</f>
        <v/>
      </c>
      <c r="AA100" t="str">
        <f>TRIM(CLEAN(IF(ISERROR(FIND(AA$2,Mail!$A98)),"",MID(Mail!$A98,FIND(AA$2,Mail!$A98)+LEN(AA$2)+1,IF(ISERROR(FIND("■",Mail!$A98,FIND(AA$2,Mail!$A98)+LEN(AA$2))-FIND(AA$2,Mail!$A98)-LEN(AA$2)),LEN(Mail!$A98)-60-FIND(AA$2,Mail!$A98)-LEN(AA$2),FIND("■",Mail!$A98,FIND(AA$2,Mail!$A98)+LEN(AA$2))-FIND(AA$2,Mail!$A98)-LEN(AA$2)-1)))))</f>
        <v/>
      </c>
      <c r="AB100" t="str">
        <f>TRIM(CLEAN(IF(ISERROR(FIND(AB$2,Mail!$A98)),"",MID(Mail!$A98,FIND(AB$2,Mail!$A98)+LEN(AB$2)+1,IF(ISERROR(FIND("■",Mail!$A98,FIND(AB$2,Mail!$A98)+LEN(AB$2))-FIND(AB$2,Mail!$A98)-LEN(AB$2)),LEN(Mail!$A98)-60-FIND(AB$2,Mail!$A98)-LEN(AB$2),FIND("■",Mail!$A98,FIND(AB$2,Mail!$A98)+LEN(AB$2))-FIND(AB$2,Mail!$A98)-LEN(AB$2)-1)))))</f>
        <v/>
      </c>
      <c r="AC100" s="8" t="str">
        <f>TRIM(CLEAN(IF(ISERROR(FIND(AC$2,Mail!$A98)),"",MID(Mail!$A98,FIND(AC$2,Mail!$A98)+LEN(AC$2)+1,IF(ISERROR(FIND("■",Mail!$A98,FIND(AC$2,Mail!$A98)+LEN(AC$2))-FIND(AC$2,Mail!$A98)-LEN(AC$2)),LEN(Mail!$A98)-60-FIND(AC$2,Mail!$A98)-LEN(AC$2),FIND("■",Mail!$A98,FIND(AC$2,Mail!$A98)+LEN(AC$2))-FIND(AC$2,Mail!$A98)-LEN(AC$2)-1)))))</f>
        <v/>
      </c>
      <c r="AD100" t="str">
        <f>TRIM(CLEAN(IF(ISERROR(FIND(AD$2,Mail!$A98)),"",MID(Mail!$A98,FIND(AD$2,Mail!$A98)+LEN(AD$2)+1,IF(ISERROR(FIND("■",Mail!$A98,FIND(AD$2,Mail!$A98)+LEN(AD$2))-FIND(AD$2,Mail!$A98)-LEN(AD$2)),LEN(Mail!$A98)-60-FIND(AD$2,Mail!$A98)-LEN(AD$2),FIND("■",Mail!$A98,FIND(AD$2,Mail!$A98)+LEN(AD$2))-FIND(AD$2,Mail!$A98)-LEN(AD$2)-1)))))</f>
        <v/>
      </c>
      <c r="AE100" t="str">
        <f>TRIM(CLEAN(IF(ISERROR(FIND(AE$2,Mail!$A98)),"",MID(Mail!$A98,FIND(AE$2,Mail!$A98)+LEN(AE$2)+1,IF(ISERROR(FIND("■",Mail!$A98,FIND(AE$2,Mail!$A98)+LEN(AE$2))-FIND(AE$2,Mail!$A98)-LEN(AE$2)),LEN(Mail!$A98)-60-FIND(AE$2,Mail!$A98)-LEN(AE$2),FIND("■",Mail!$A98,FIND(AE$2,Mail!$A98)+LEN(AE$2))-FIND(AE$2,Mail!$A98)-LEN(AE$2)-1)))))</f>
        <v/>
      </c>
      <c r="AF100" t="str">
        <f>TRIM(CLEAN(IF(ISERROR(FIND(AF$2,Mail!$A98)),"",MID(Mail!$A98,FIND(AF$2,Mail!$A98)+LEN(AF$2)+1,IF(ISERROR(FIND("■",Mail!$A98,FIND(AF$2,Mail!$A98)+LEN(AF$2))-FIND(AF$2,Mail!$A98)-LEN(AF$2)),LEN(Mail!$A98)-60-FIND(AF$2,Mail!$A98)-LEN(AF$2),FIND("■",Mail!$A98,FIND(AF$2,Mail!$A98)+LEN(AF$2))-FIND(AF$2,Mail!$A98)-LEN(AF$2)-1)))))</f>
        <v/>
      </c>
      <c r="AG100" t="str">
        <f>TRIM(IF(ISERROR(FIND(AG$2,Mail!$A98)),"",MID(Mail!$A98,FIND(AG$2,Mail!$A98)+LEN(AG$2)+1,IF(ISERROR(FIND("■",Mail!$A98,FIND(AG$2,Mail!$A98)+LEN(AG$2))-FIND(AG$2,Mail!$A98)-LEN(AG$2)),LEN(Mail!$A98)-60-FIND(AG$2,Mail!$A98)-LEN(AG$2),FIND("■",Mail!$A98,FIND(AG$2,Mail!$A98)+LEN(AG$2))-FIND(AG$2,Mail!$A98)-LEN(AG$2)-1))))</f>
        <v/>
      </c>
      <c r="AH100" t="str">
        <f>TRIM(IF(ISERROR(FIND(AH$2,Mail!$A98)),"",MID(Mail!$A98,FIND(AH$2,Mail!$A98)+LEN(AH$2)+1,IF(ISERROR(FIND("■",Mail!$A98,FIND(AH$2,Mail!$A98)+LEN(AH$2))-FIND(AH$2,Mail!$A98)-LEN(AH$2)),LEN(Mail!$A98)-60-FIND(AH$2,Mail!$A98)-LEN(AH$2),FIND("■",Mail!$A98,FIND(AH$2,Mail!$A98)+LEN(AH$2))-FIND(AH$2,Mail!$A98)-LEN(AH$2)-1))))</f>
        <v/>
      </c>
      <c r="AI100" t="str">
        <f>TRIM(IF(ISERROR(FIND(AI$2,Mail!$A98)),"",MID(Mail!$A98,FIND(AI$2,Mail!$A98)+LEN(AI$2)+1,IF(ISERROR(FIND("■",Mail!$A98,FIND(AI$2,Mail!$A98)+LEN(AI$2))-FIND(AI$2,Mail!$A98)-LEN(AI$2)),LEN(Mail!$A98)-60-FIND(AI$2,Mail!$A98)-LEN(AI$2),FIND("■",Mail!$A98,FIND(AI$2,Mail!$A98)+LEN(AI$2))-FIND(AI$2,Mail!$A98)-LEN(AI$2)-1))))</f>
        <v/>
      </c>
    </row>
    <row r="101" spans="1:35" x14ac:dyDescent="0.15">
      <c r="A101" s="9" t="str">
        <f t="shared" si="6"/>
        <v/>
      </c>
      <c r="B101" s="8" t="str">
        <f>CLEAN(SUBSTITUTE(IF(ISERROR(FIND("yokohama",Mail!$A99)),"",MID(Mail!$A99,FIND("yokohama",Mail!$A99)+LEN("yokohama")+1,FIND("件目",Mail!$A99,FIND("yokohama",Mail!$A99))-(FIND("yokohama",Mail!$A99)+LEN("yokohama")+1)))," ",""))</f>
        <v/>
      </c>
      <c r="C101" s="2" t="str">
        <f t="shared" si="9"/>
        <v/>
      </c>
      <c r="D101" s="9" t="str">
        <f t="shared" si="7"/>
        <v/>
      </c>
      <c r="E101" s="8" t="str">
        <f t="shared" si="8"/>
        <v/>
      </c>
      <c r="F101" t="str">
        <f>TRIM(CLEAN(IF(ISERROR(FIND(F$2,Mail!$A99)),"",MID(Mail!$A99,FIND(F$2,Mail!$A99)+LEN(F$2)+1,IF(ISERROR(FIND("■",Mail!$A99,FIND(F$2,Mail!$A99)+LEN(F$2))-FIND(F$2,Mail!$A99)-LEN(F$2)),LEN(Mail!$A99)-60-FIND(F$2,Mail!$A99)-LEN(F$2),FIND("■",Mail!$A99,FIND(F$2,Mail!$A99)+LEN(F$2))-FIND(F$2,Mail!$A99)-LEN(F$2)-1)))))</f>
        <v/>
      </c>
      <c r="G101" t="str">
        <f>TRIM(CLEAN(IF(ISERROR(FIND(G$2,Mail!$A99)),"",MID(Mail!$A99,FIND(G$2,Mail!$A99)+LEN(G$2)+1,IF(ISERROR(FIND("■",Mail!$A99,FIND(G$2,Mail!$A99)+LEN(G$2))-FIND(G$2,Mail!$A99)-LEN(G$2)),LEN(Mail!$A99)-60-FIND(G$2,Mail!$A99)-LEN(G$2),FIND("■",Mail!$A99,FIND(G$2,Mail!$A99)+LEN(G$2))-FIND(G$2,Mail!$A99)-LEN(G$2)-1)))))</f>
        <v/>
      </c>
      <c r="H101" s="8" t="str">
        <f>TRIM(CLEAN(IF(ISERROR(FIND(H$2,Mail!$A99)),"",MID(Mail!$A99,FIND(H$2,Mail!$A99)+LEN(H$2)+1,IF(ISERROR(FIND("■",Mail!$A99,FIND(H$2,Mail!$A99)+LEN(H$2))-FIND(H$2,Mail!$A99)-LEN(H$2)),LEN(Mail!$A99)-60-FIND(H$2,Mail!$A99)-LEN(H$2),FIND("■",Mail!$A99,FIND(H$2,Mail!$A99)+LEN(H$2))-FIND(H$2,Mail!$A99)-LEN(H$2)-1)))))</f>
        <v/>
      </c>
      <c r="I101" t="str">
        <f>TRIM(CLEAN(IF(ISERROR(FIND(I$2,Mail!$A99)),"",MID(Mail!$A99,FIND(I$2,Mail!$A99)+LEN(I$2)+1,IF(ISERROR(FIND("■",Mail!$A99,FIND(I$2,Mail!$A99)+LEN(I$2))-FIND(I$2,Mail!$A99)-LEN(I$2)),LEN(Mail!$A99)-60-FIND(I$2,Mail!$A99)-LEN(I$2),FIND("■",Mail!$A99,FIND(I$2,Mail!$A99)+LEN(I$2))-FIND(I$2,Mail!$A99)-LEN(I$2)-1)))))</f>
        <v/>
      </c>
      <c r="J101" t="str">
        <f>TRIM(IF(ISERROR(FIND(J$2,Mail!$A99)),"",MID(Mail!$A99,FIND(J$2,Mail!$A99)+LEN(J$2)+1,IF(ISERROR(FIND("■",Mail!$A99,FIND(J$2,Mail!$A99)+LEN(J$2))-FIND(J$2,Mail!$A99)-LEN(J$2)),LEN(Mail!$A99)-60-FIND(J$2,Mail!$A99)-LEN(J$2),FIND("■",Mail!$A99,FIND(J$2,Mail!$A99)+LEN(J$2))-FIND(J$2,Mail!$A99)-LEN(J$2)-1))))</f>
        <v/>
      </c>
      <c r="K101" t="str">
        <f>TRIM(IF(ISERROR(FIND(K$2,Mail!$A99)),"",MID(Mail!$A99,FIND(K$2,Mail!$A99)+LEN(K$2)+1,IF(ISERROR(FIND("■",Mail!$A99,FIND(K$2,Mail!$A99)+LEN(K$2))-FIND(K$2,Mail!$A99)-LEN(K$2)),LEN(Mail!$A99)-60-FIND(K$2,Mail!$A99)-LEN(K$2),FIND("■",Mail!$A99,FIND(K$2,Mail!$A99)+LEN(K$2))-FIND(K$2,Mail!$A99)-LEN(K$2)-1))))</f>
        <v/>
      </c>
      <c r="L101" t="str">
        <f>TRIM(IF(ISERROR(FIND(L$2,Mail!$A99)),"",MID(Mail!$A99,FIND(L$2,Mail!$A99)+LEN(L$2)+1,IF(ISERROR(FIND("■",Mail!$A99,FIND(L$2,Mail!$A99)+LEN(L$2))-FIND(L$2,Mail!$A99)-LEN(L$2)),LEN(Mail!$A99)-60-FIND(L$2,Mail!$A99)-LEN(L$2),FIND("■",Mail!$A99,FIND(L$2,Mail!$A99)+LEN(L$2))-FIND(L$2,Mail!$A99)-LEN(L$2)-1))))</f>
        <v/>
      </c>
      <c r="M101" t="str">
        <f>TRIM(CLEAN(IF(ISERROR(FIND(M$2,Mail!$A99)),"",MID(Mail!$A99,FIND(M$2,Mail!$A99)+LEN(M$2)+1,IF(ISERROR(FIND("■",Mail!$A99,FIND(M$2,Mail!$A99)+LEN(M$2))-FIND(M$2,Mail!$A99)-LEN(M$2)),LEN(Mail!$A99)-60-FIND(M$2,Mail!$A99)-LEN(M$2),FIND("■",Mail!$A99,FIND(M$2,Mail!$A99)+LEN(M$2))-FIND(M$2,Mail!$A99)-LEN(M$2)-1)))))</f>
        <v/>
      </c>
      <c r="N101" t="str">
        <f>TRIM(CLEAN(IF(ISERROR(FIND(N$2,Mail!$A99)),"",MID(Mail!$A99,FIND(N$2,Mail!$A99)+LEN(N$2)+1,IF(ISERROR(FIND("■",Mail!$A99,FIND(N$2,Mail!$A99)+LEN(N$2))-FIND(N$2,Mail!$A99)-LEN(N$2)),LEN(Mail!$A99)-60-FIND(N$2,Mail!$A99)-LEN(N$2),FIND("■",Mail!$A99,FIND(N$2,Mail!$A99)+LEN(N$2))-FIND(N$2,Mail!$A99)-LEN(N$2)-1)))))</f>
        <v/>
      </c>
      <c r="O101" t="str">
        <f>TRIM(CLEAN(IF(ISERROR(FIND(O$2,Mail!$A99)),"",MID(Mail!$A99,FIND(O$2,Mail!$A99)+LEN(O$2)+1,IF(ISERROR(FIND("■",Mail!$A99,FIND(O$2,Mail!$A99)+LEN(O$2))-FIND(O$2,Mail!$A99)-LEN(O$2)),LEN(Mail!$A99)-60-FIND(O$2,Mail!$A99)-LEN(O$2),FIND("■",Mail!$A99,FIND(O$2,Mail!$A99)+LEN(O$2))-FIND(O$2,Mail!$A99)-LEN(O$2)-1)))))</f>
        <v/>
      </c>
      <c r="P101" t="str">
        <f>TRIM(CLEAN(IF(ISERROR(FIND(P$2,Mail!$A99)),"",MID(Mail!$A99,FIND(P$2,Mail!$A99)+LEN(P$2)+1,IF(ISERROR(FIND("■",Mail!$A99,FIND(P$2,Mail!$A99)+LEN(P$2))-FIND(P$2,Mail!$A99)-LEN(P$2)),LEN(Mail!$A99)-60-FIND(P$2,Mail!$A99)-LEN(P$2),FIND("■",Mail!$A99,FIND(P$2,Mail!$A99)+LEN(P$2))-FIND(P$2,Mail!$A99)-LEN(P$2)-1)))))</f>
        <v/>
      </c>
      <c r="Q101" t="str">
        <f>TRIM(CLEAN(IF(ISERROR(FIND(Q$2,Mail!$A99)),"",MID(Mail!$A99,FIND(Q$2,Mail!$A99)+LEN(Q$2)+1,IF(ISERROR(FIND("■",Mail!$A99,FIND(Q$2,Mail!$A99)+LEN(Q$2))-FIND(Q$2,Mail!$A99)-LEN(Q$2)),LEN(Mail!$A99)-60-FIND(Q$2,Mail!$A99)-LEN(Q$2),FIND("■",Mail!$A99,FIND(Q$2,Mail!$A99)+LEN(Q$2))-FIND(Q$2,Mail!$A99)-LEN(Q$2)-1)))))</f>
        <v/>
      </c>
      <c r="R101" s="8" t="str">
        <f>TRIM(CLEAN(IF(ISERROR(FIND(R$2,Mail!$A99)),"",MID(Mail!$A99,FIND(R$2,Mail!$A99)+LEN(R$2)+1,IF(ISERROR(FIND("■",Mail!$A99,FIND(R$2,Mail!$A99)+LEN(R$2))-FIND(R$2,Mail!$A99)-LEN(R$2)),LEN(Mail!$A99)-60-FIND(R$2,Mail!$A99)-LEN(R$2),FIND("■",Mail!$A99,FIND(R$2,Mail!$A99)+LEN(R$2))-FIND(R$2,Mail!$A99)-LEN(R$2)-1)))))</f>
        <v/>
      </c>
      <c r="S101" t="str">
        <f>TRIM(CLEAN(IF(ISERROR(FIND(S$2,Mail!$A99)),"",MID(Mail!$A99,FIND(S$2,Mail!$A99)+LEN(S$2)+1,IF(ISERROR(FIND("■",Mail!$A99,FIND(S$2,Mail!$A99)+LEN(S$2))-FIND(S$2,Mail!$A99)-LEN(S$2)),LEN(Mail!$A99)-60-FIND(S$2,Mail!$A99)-LEN(S$2),FIND("■",Mail!$A99,FIND(S$2,Mail!$A99)+LEN(S$2))-FIND(S$2,Mail!$A99)-LEN(S$2)-1)))))</f>
        <v/>
      </c>
      <c r="T101" t="str">
        <f>TRIM(CLEAN(IF(ISERROR(FIND(T$2,Mail!$A99)),"",MID(Mail!$A99,FIND(T$2,Mail!$A99)+LEN(T$2)+1,IF(ISERROR(FIND("■",Mail!$A99,FIND(T$2,Mail!$A99)+LEN(T$2))-FIND(T$2,Mail!$A99)-LEN(T$2)),LEN(Mail!$A99)-60-FIND(T$2,Mail!$A99)-LEN(T$2),FIND("■",Mail!$A99,FIND(T$2,Mail!$A99)+LEN(T$2))-FIND(T$2,Mail!$A99)-LEN(T$2)-1)))))</f>
        <v/>
      </c>
      <c r="U101" t="str">
        <f>TRIM(CLEAN(IF(ISERROR(FIND(U$2,Mail!$A99)),"",MID(Mail!$A99,FIND(U$2,Mail!$A99)+LEN(U$2)+1,IF(ISERROR(FIND("■",Mail!$A99,FIND(U$2,Mail!$A99)+LEN(U$2))-FIND(U$2,Mail!$A99)-LEN(U$2)),LEN(Mail!$A99)-60-FIND(U$2,Mail!$A99)-LEN(U$2),FIND("■",Mail!$A99,FIND(U$2,Mail!$A99)+LEN(U$2))-FIND(U$2,Mail!$A99)-LEN(U$2)-1)))))</f>
        <v/>
      </c>
      <c r="V101" t="str">
        <f>TRIM(CLEAN(IF(ISERROR(FIND(V$2,Mail!$A99)),"",MID(Mail!$A99,FIND(V$2,Mail!$A99)+LEN(V$2)+1,IF(ISERROR(FIND("■",Mail!$A99,FIND(V$2,Mail!$A99)+LEN(V$2))-FIND(V$2,Mail!$A99)-LEN(V$2)),LEN(Mail!$A99)-60-FIND(V$2,Mail!$A99)-LEN(V$2),FIND("■",Mail!$A99,FIND(V$2,Mail!$A99)+LEN(V$2))-FIND(V$2,Mail!$A99)-LEN(V$2)-1)))))</f>
        <v/>
      </c>
      <c r="W101" t="str">
        <f>TRIM(CLEAN(IF(ISERROR(FIND(W$2,Mail!$A99)),"",MID(Mail!$A99,FIND(W$2,Mail!$A99)+LEN(W$2)+1,IF(ISERROR(FIND("■",Mail!$A99,FIND(W$2,Mail!$A99)+LEN(W$2))-FIND(W$2,Mail!$A99)-LEN(W$2)),LEN(Mail!$A99)-60-FIND(W$2,Mail!$A99)-LEN(W$2),FIND("■",Mail!$A99,FIND(W$2,Mail!$A99)+LEN(W$2))-FIND(W$2,Mail!$A99)-LEN(W$2)-1)))))</f>
        <v/>
      </c>
      <c r="X101" t="str">
        <f>TRIM(IF(ISERROR(FIND(X$2,Mail!$A99)),"",MID(Mail!$A99,FIND(X$2,Mail!$A99)+LEN(X$2)+1,IF(ISERROR(FIND("■",Mail!$A99,FIND(X$2,Mail!$A99)+LEN(X$2))-FIND(X$2,Mail!$A99)-LEN(X$2)),LEN(Mail!$A99)-60-FIND(X$2,Mail!$A99)-LEN(X$2),FIND("■",Mail!$A99,FIND(X$2,Mail!$A99)+LEN(X$2))-FIND(X$2,Mail!$A99)-LEN(X$2)-1))))</f>
        <v/>
      </c>
      <c r="Y101" t="str">
        <f>TRIM(CLEAN(IF(ISERROR(FIND(Y$2,Mail!$A99)),"",MID(Mail!$A99,FIND(Y$2,Mail!$A99)+LEN(Y$2)+1,IF(ISERROR(FIND("■",Mail!$A99,FIND(Y$2,Mail!$A99)+LEN(Y$2))-FIND(Y$2,Mail!$A99)-LEN(Y$2)),LEN(Mail!$A99)-60-FIND(Y$2,Mail!$A99)-LEN(Y$2),FIND("■",Mail!$A99,FIND(Y$2,Mail!$A99)+LEN(Y$2))-FIND(Y$2,Mail!$A99)-LEN(Y$2)-1)))))</f>
        <v/>
      </c>
      <c r="Z101" t="str">
        <f>TRIM(CLEAN(IF(ISERROR(FIND(Z$2,Mail!$A99)),"",MID(Mail!$A99,FIND(Z$2,Mail!$A99)+LEN(Z$2)+1,IF(ISERROR(FIND("■",Mail!$A99,FIND(Z$2,Mail!$A99)+LEN(Z$2))-FIND(Z$2,Mail!$A99)-LEN(Z$2)),LEN(Mail!$A99)-60-FIND(Z$2,Mail!$A99)-LEN(Z$2),FIND("■",Mail!$A99,FIND(Z$2,Mail!$A99)+LEN(Z$2))-FIND(Z$2,Mail!$A99)-LEN(Z$2)-1)))))</f>
        <v/>
      </c>
      <c r="AA101" t="str">
        <f>TRIM(CLEAN(IF(ISERROR(FIND(AA$2,Mail!$A99)),"",MID(Mail!$A99,FIND(AA$2,Mail!$A99)+LEN(AA$2)+1,IF(ISERROR(FIND("■",Mail!$A99,FIND(AA$2,Mail!$A99)+LEN(AA$2))-FIND(AA$2,Mail!$A99)-LEN(AA$2)),LEN(Mail!$A99)-60-FIND(AA$2,Mail!$A99)-LEN(AA$2),FIND("■",Mail!$A99,FIND(AA$2,Mail!$A99)+LEN(AA$2))-FIND(AA$2,Mail!$A99)-LEN(AA$2)-1)))))</f>
        <v/>
      </c>
      <c r="AB101" t="str">
        <f>TRIM(CLEAN(IF(ISERROR(FIND(AB$2,Mail!$A99)),"",MID(Mail!$A99,FIND(AB$2,Mail!$A99)+LEN(AB$2)+1,IF(ISERROR(FIND("■",Mail!$A99,FIND(AB$2,Mail!$A99)+LEN(AB$2))-FIND(AB$2,Mail!$A99)-LEN(AB$2)),LEN(Mail!$A99)-60-FIND(AB$2,Mail!$A99)-LEN(AB$2),FIND("■",Mail!$A99,FIND(AB$2,Mail!$A99)+LEN(AB$2))-FIND(AB$2,Mail!$A99)-LEN(AB$2)-1)))))</f>
        <v/>
      </c>
      <c r="AC101" s="8" t="str">
        <f>TRIM(CLEAN(IF(ISERROR(FIND(AC$2,Mail!$A99)),"",MID(Mail!$A99,FIND(AC$2,Mail!$A99)+LEN(AC$2)+1,IF(ISERROR(FIND("■",Mail!$A99,FIND(AC$2,Mail!$A99)+LEN(AC$2))-FIND(AC$2,Mail!$A99)-LEN(AC$2)),LEN(Mail!$A99)-60-FIND(AC$2,Mail!$A99)-LEN(AC$2),FIND("■",Mail!$A99,FIND(AC$2,Mail!$A99)+LEN(AC$2))-FIND(AC$2,Mail!$A99)-LEN(AC$2)-1)))))</f>
        <v/>
      </c>
      <c r="AD101" t="str">
        <f>TRIM(CLEAN(IF(ISERROR(FIND(AD$2,Mail!$A99)),"",MID(Mail!$A99,FIND(AD$2,Mail!$A99)+LEN(AD$2)+1,IF(ISERROR(FIND("■",Mail!$A99,FIND(AD$2,Mail!$A99)+LEN(AD$2))-FIND(AD$2,Mail!$A99)-LEN(AD$2)),LEN(Mail!$A99)-60-FIND(AD$2,Mail!$A99)-LEN(AD$2),FIND("■",Mail!$A99,FIND(AD$2,Mail!$A99)+LEN(AD$2))-FIND(AD$2,Mail!$A99)-LEN(AD$2)-1)))))</f>
        <v/>
      </c>
      <c r="AE101" t="str">
        <f>TRIM(CLEAN(IF(ISERROR(FIND(AE$2,Mail!$A99)),"",MID(Mail!$A99,FIND(AE$2,Mail!$A99)+LEN(AE$2)+1,IF(ISERROR(FIND("■",Mail!$A99,FIND(AE$2,Mail!$A99)+LEN(AE$2))-FIND(AE$2,Mail!$A99)-LEN(AE$2)),LEN(Mail!$A99)-60-FIND(AE$2,Mail!$A99)-LEN(AE$2),FIND("■",Mail!$A99,FIND(AE$2,Mail!$A99)+LEN(AE$2))-FIND(AE$2,Mail!$A99)-LEN(AE$2)-1)))))</f>
        <v/>
      </c>
      <c r="AF101" t="str">
        <f>TRIM(CLEAN(IF(ISERROR(FIND(AF$2,Mail!$A99)),"",MID(Mail!$A99,FIND(AF$2,Mail!$A99)+LEN(AF$2)+1,IF(ISERROR(FIND("■",Mail!$A99,FIND(AF$2,Mail!$A99)+LEN(AF$2))-FIND(AF$2,Mail!$A99)-LEN(AF$2)),LEN(Mail!$A99)-60-FIND(AF$2,Mail!$A99)-LEN(AF$2),FIND("■",Mail!$A99,FIND(AF$2,Mail!$A99)+LEN(AF$2))-FIND(AF$2,Mail!$A99)-LEN(AF$2)-1)))))</f>
        <v/>
      </c>
      <c r="AG101" t="str">
        <f>TRIM(IF(ISERROR(FIND(AG$2,Mail!$A99)),"",MID(Mail!$A99,FIND(AG$2,Mail!$A99)+LEN(AG$2)+1,IF(ISERROR(FIND("■",Mail!$A99,FIND(AG$2,Mail!$A99)+LEN(AG$2))-FIND(AG$2,Mail!$A99)-LEN(AG$2)),LEN(Mail!$A99)-60-FIND(AG$2,Mail!$A99)-LEN(AG$2),FIND("■",Mail!$A99,FIND(AG$2,Mail!$A99)+LEN(AG$2))-FIND(AG$2,Mail!$A99)-LEN(AG$2)-1))))</f>
        <v/>
      </c>
      <c r="AH101" t="str">
        <f>TRIM(IF(ISERROR(FIND(AH$2,Mail!$A99)),"",MID(Mail!$A99,FIND(AH$2,Mail!$A99)+LEN(AH$2)+1,IF(ISERROR(FIND("■",Mail!$A99,FIND(AH$2,Mail!$A99)+LEN(AH$2))-FIND(AH$2,Mail!$A99)-LEN(AH$2)),LEN(Mail!$A99)-60-FIND(AH$2,Mail!$A99)-LEN(AH$2),FIND("■",Mail!$A99,FIND(AH$2,Mail!$A99)+LEN(AH$2))-FIND(AH$2,Mail!$A99)-LEN(AH$2)-1))))</f>
        <v/>
      </c>
      <c r="AI101" t="str">
        <f>TRIM(IF(ISERROR(FIND(AI$2,Mail!$A99)),"",MID(Mail!$A99,FIND(AI$2,Mail!$A99)+LEN(AI$2)+1,IF(ISERROR(FIND("■",Mail!$A99,FIND(AI$2,Mail!$A99)+LEN(AI$2))-FIND(AI$2,Mail!$A99)-LEN(AI$2)),LEN(Mail!$A99)-60-FIND(AI$2,Mail!$A99)-LEN(AI$2),FIND("■",Mail!$A99,FIND(AI$2,Mail!$A99)+LEN(AI$2))-FIND(AI$2,Mail!$A99)-LEN(AI$2)-1))))</f>
        <v/>
      </c>
    </row>
    <row r="102" spans="1:35" x14ac:dyDescent="0.15">
      <c r="A102" s="9" t="str">
        <f t="shared" si="6"/>
        <v/>
      </c>
      <c r="B102" s="8" t="str">
        <f>CLEAN(SUBSTITUTE(IF(ISERROR(FIND("yokohama",Mail!$A100)),"",MID(Mail!$A100,FIND("yokohama",Mail!$A100)+LEN("yokohama")+1,FIND("件目",Mail!$A100,FIND("yokohama",Mail!$A100))-(FIND("yokohama",Mail!$A100)+LEN("yokohama")+1)))," ",""))</f>
        <v/>
      </c>
      <c r="C102" s="2" t="str">
        <f t="shared" si="9"/>
        <v/>
      </c>
      <c r="D102" s="9" t="str">
        <f t="shared" si="7"/>
        <v/>
      </c>
      <c r="E102" s="8" t="str">
        <f t="shared" si="8"/>
        <v/>
      </c>
      <c r="F102" t="str">
        <f>TRIM(CLEAN(IF(ISERROR(FIND(F$2,Mail!$A100)),"",MID(Mail!$A100,FIND(F$2,Mail!$A100)+LEN(F$2)+1,IF(ISERROR(FIND("■",Mail!$A100,FIND(F$2,Mail!$A100)+LEN(F$2))-FIND(F$2,Mail!$A100)-LEN(F$2)),LEN(Mail!$A100)-60-FIND(F$2,Mail!$A100)-LEN(F$2),FIND("■",Mail!$A100,FIND(F$2,Mail!$A100)+LEN(F$2))-FIND(F$2,Mail!$A100)-LEN(F$2)-1)))))</f>
        <v/>
      </c>
      <c r="G102" t="str">
        <f>TRIM(CLEAN(IF(ISERROR(FIND(G$2,Mail!$A100)),"",MID(Mail!$A100,FIND(G$2,Mail!$A100)+LEN(G$2)+1,IF(ISERROR(FIND("■",Mail!$A100,FIND(G$2,Mail!$A100)+LEN(G$2))-FIND(G$2,Mail!$A100)-LEN(G$2)),LEN(Mail!$A100)-60-FIND(G$2,Mail!$A100)-LEN(G$2),FIND("■",Mail!$A100,FIND(G$2,Mail!$A100)+LEN(G$2))-FIND(G$2,Mail!$A100)-LEN(G$2)-1)))))</f>
        <v/>
      </c>
      <c r="H102" s="8" t="str">
        <f>TRIM(CLEAN(IF(ISERROR(FIND(H$2,Mail!$A100)),"",MID(Mail!$A100,FIND(H$2,Mail!$A100)+LEN(H$2)+1,IF(ISERROR(FIND("■",Mail!$A100,FIND(H$2,Mail!$A100)+LEN(H$2))-FIND(H$2,Mail!$A100)-LEN(H$2)),LEN(Mail!$A100)-60-FIND(H$2,Mail!$A100)-LEN(H$2),FIND("■",Mail!$A100,FIND(H$2,Mail!$A100)+LEN(H$2))-FIND(H$2,Mail!$A100)-LEN(H$2)-1)))))</f>
        <v/>
      </c>
      <c r="I102" t="str">
        <f>TRIM(CLEAN(IF(ISERROR(FIND(I$2,Mail!$A100)),"",MID(Mail!$A100,FIND(I$2,Mail!$A100)+LEN(I$2)+1,IF(ISERROR(FIND("■",Mail!$A100,FIND(I$2,Mail!$A100)+LEN(I$2))-FIND(I$2,Mail!$A100)-LEN(I$2)),LEN(Mail!$A100)-60-FIND(I$2,Mail!$A100)-LEN(I$2),FIND("■",Mail!$A100,FIND(I$2,Mail!$A100)+LEN(I$2))-FIND(I$2,Mail!$A100)-LEN(I$2)-1)))))</f>
        <v/>
      </c>
      <c r="J102" t="str">
        <f>TRIM(IF(ISERROR(FIND(J$2,Mail!$A100)),"",MID(Mail!$A100,FIND(J$2,Mail!$A100)+LEN(J$2)+1,IF(ISERROR(FIND("■",Mail!$A100,FIND(J$2,Mail!$A100)+LEN(J$2))-FIND(J$2,Mail!$A100)-LEN(J$2)),LEN(Mail!$A100)-60-FIND(J$2,Mail!$A100)-LEN(J$2),FIND("■",Mail!$A100,FIND(J$2,Mail!$A100)+LEN(J$2))-FIND(J$2,Mail!$A100)-LEN(J$2)-1))))</f>
        <v/>
      </c>
      <c r="K102" t="str">
        <f>TRIM(IF(ISERROR(FIND(K$2,Mail!$A100)),"",MID(Mail!$A100,FIND(K$2,Mail!$A100)+LEN(K$2)+1,IF(ISERROR(FIND("■",Mail!$A100,FIND(K$2,Mail!$A100)+LEN(K$2))-FIND(K$2,Mail!$A100)-LEN(K$2)),LEN(Mail!$A100)-60-FIND(K$2,Mail!$A100)-LEN(K$2),FIND("■",Mail!$A100,FIND(K$2,Mail!$A100)+LEN(K$2))-FIND(K$2,Mail!$A100)-LEN(K$2)-1))))</f>
        <v/>
      </c>
      <c r="L102" t="str">
        <f>TRIM(IF(ISERROR(FIND(L$2,Mail!$A100)),"",MID(Mail!$A100,FIND(L$2,Mail!$A100)+LEN(L$2)+1,IF(ISERROR(FIND("■",Mail!$A100,FIND(L$2,Mail!$A100)+LEN(L$2))-FIND(L$2,Mail!$A100)-LEN(L$2)),LEN(Mail!$A100)-60-FIND(L$2,Mail!$A100)-LEN(L$2),FIND("■",Mail!$A100,FIND(L$2,Mail!$A100)+LEN(L$2))-FIND(L$2,Mail!$A100)-LEN(L$2)-1))))</f>
        <v/>
      </c>
      <c r="M102" t="str">
        <f>TRIM(CLEAN(IF(ISERROR(FIND(M$2,Mail!$A100)),"",MID(Mail!$A100,FIND(M$2,Mail!$A100)+LEN(M$2)+1,IF(ISERROR(FIND("■",Mail!$A100,FIND(M$2,Mail!$A100)+LEN(M$2))-FIND(M$2,Mail!$A100)-LEN(M$2)),LEN(Mail!$A100)-60-FIND(M$2,Mail!$A100)-LEN(M$2),FIND("■",Mail!$A100,FIND(M$2,Mail!$A100)+LEN(M$2))-FIND(M$2,Mail!$A100)-LEN(M$2)-1)))))</f>
        <v/>
      </c>
      <c r="N102" t="str">
        <f>TRIM(CLEAN(IF(ISERROR(FIND(N$2,Mail!$A100)),"",MID(Mail!$A100,FIND(N$2,Mail!$A100)+LEN(N$2)+1,IF(ISERROR(FIND("■",Mail!$A100,FIND(N$2,Mail!$A100)+LEN(N$2))-FIND(N$2,Mail!$A100)-LEN(N$2)),LEN(Mail!$A100)-60-FIND(N$2,Mail!$A100)-LEN(N$2),FIND("■",Mail!$A100,FIND(N$2,Mail!$A100)+LEN(N$2))-FIND(N$2,Mail!$A100)-LEN(N$2)-1)))))</f>
        <v/>
      </c>
      <c r="O102" t="str">
        <f>TRIM(CLEAN(IF(ISERROR(FIND(O$2,Mail!$A100)),"",MID(Mail!$A100,FIND(O$2,Mail!$A100)+LEN(O$2)+1,IF(ISERROR(FIND("■",Mail!$A100,FIND(O$2,Mail!$A100)+LEN(O$2))-FIND(O$2,Mail!$A100)-LEN(O$2)),LEN(Mail!$A100)-60-FIND(O$2,Mail!$A100)-LEN(O$2),FIND("■",Mail!$A100,FIND(O$2,Mail!$A100)+LEN(O$2))-FIND(O$2,Mail!$A100)-LEN(O$2)-1)))))</f>
        <v/>
      </c>
      <c r="P102" t="str">
        <f>TRIM(CLEAN(IF(ISERROR(FIND(P$2,Mail!$A100)),"",MID(Mail!$A100,FIND(P$2,Mail!$A100)+LEN(P$2)+1,IF(ISERROR(FIND("■",Mail!$A100,FIND(P$2,Mail!$A100)+LEN(P$2))-FIND(P$2,Mail!$A100)-LEN(P$2)),LEN(Mail!$A100)-60-FIND(P$2,Mail!$A100)-LEN(P$2),FIND("■",Mail!$A100,FIND(P$2,Mail!$A100)+LEN(P$2))-FIND(P$2,Mail!$A100)-LEN(P$2)-1)))))</f>
        <v/>
      </c>
      <c r="Q102" t="str">
        <f>TRIM(CLEAN(IF(ISERROR(FIND(Q$2,Mail!$A100)),"",MID(Mail!$A100,FIND(Q$2,Mail!$A100)+LEN(Q$2)+1,IF(ISERROR(FIND("■",Mail!$A100,FIND(Q$2,Mail!$A100)+LEN(Q$2))-FIND(Q$2,Mail!$A100)-LEN(Q$2)),LEN(Mail!$A100)-60-FIND(Q$2,Mail!$A100)-LEN(Q$2),FIND("■",Mail!$A100,FIND(Q$2,Mail!$A100)+LEN(Q$2))-FIND(Q$2,Mail!$A100)-LEN(Q$2)-1)))))</f>
        <v/>
      </c>
      <c r="R102" s="8" t="str">
        <f>TRIM(CLEAN(IF(ISERROR(FIND(R$2,Mail!$A100)),"",MID(Mail!$A100,FIND(R$2,Mail!$A100)+LEN(R$2)+1,IF(ISERROR(FIND("■",Mail!$A100,FIND(R$2,Mail!$A100)+LEN(R$2))-FIND(R$2,Mail!$A100)-LEN(R$2)),LEN(Mail!$A100)-60-FIND(R$2,Mail!$A100)-LEN(R$2),FIND("■",Mail!$A100,FIND(R$2,Mail!$A100)+LEN(R$2))-FIND(R$2,Mail!$A100)-LEN(R$2)-1)))))</f>
        <v/>
      </c>
      <c r="S102" t="str">
        <f>TRIM(CLEAN(IF(ISERROR(FIND(S$2,Mail!$A100)),"",MID(Mail!$A100,FIND(S$2,Mail!$A100)+LEN(S$2)+1,IF(ISERROR(FIND("■",Mail!$A100,FIND(S$2,Mail!$A100)+LEN(S$2))-FIND(S$2,Mail!$A100)-LEN(S$2)),LEN(Mail!$A100)-60-FIND(S$2,Mail!$A100)-LEN(S$2),FIND("■",Mail!$A100,FIND(S$2,Mail!$A100)+LEN(S$2))-FIND(S$2,Mail!$A100)-LEN(S$2)-1)))))</f>
        <v/>
      </c>
      <c r="T102" t="str">
        <f>TRIM(CLEAN(IF(ISERROR(FIND(T$2,Mail!$A100)),"",MID(Mail!$A100,FIND(T$2,Mail!$A100)+LEN(T$2)+1,IF(ISERROR(FIND("■",Mail!$A100,FIND(T$2,Mail!$A100)+LEN(T$2))-FIND(T$2,Mail!$A100)-LEN(T$2)),LEN(Mail!$A100)-60-FIND(T$2,Mail!$A100)-LEN(T$2),FIND("■",Mail!$A100,FIND(T$2,Mail!$A100)+LEN(T$2))-FIND(T$2,Mail!$A100)-LEN(T$2)-1)))))</f>
        <v/>
      </c>
      <c r="U102" t="str">
        <f>TRIM(CLEAN(IF(ISERROR(FIND(U$2,Mail!$A100)),"",MID(Mail!$A100,FIND(U$2,Mail!$A100)+LEN(U$2)+1,IF(ISERROR(FIND("■",Mail!$A100,FIND(U$2,Mail!$A100)+LEN(U$2))-FIND(U$2,Mail!$A100)-LEN(U$2)),LEN(Mail!$A100)-60-FIND(U$2,Mail!$A100)-LEN(U$2),FIND("■",Mail!$A100,FIND(U$2,Mail!$A100)+LEN(U$2))-FIND(U$2,Mail!$A100)-LEN(U$2)-1)))))</f>
        <v/>
      </c>
      <c r="V102" t="str">
        <f>TRIM(CLEAN(IF(ISERROR(FIND(V$2,Mail!$A100)),"",MID(Mail!$A100,FIND(V$2,Mail!$A100)+LEN(V$2)+1,IF(ISERROR(FIND("■",Mail!$A100,FIND(V$2,Mail!$A100)+LEN(V$2))-FIND(V$2,Mail!$A100)-LEN(V$2)),LEN(Mail!$A100)-60-FIND(V$2,Mail!$A100)-LEN(V$2),FIND("■",Mail!$A100,FIND(V$2,Mail!$A100)+LEN(V$2))-FIND(V$2,Mail!$A100)-LEN(V$2)-1)))))</f>
        <v/>
      </c>
      <c r="W102" t="str">
        <f>TRIM(CLEAN(IF(ISERROR(FIND(W$2,Mail!$A100)),"",MID(Mail!$A100,FIND(W$2,Mail!$A100)+LEN(W$2)+1,IF(ISERROR(FIND("■",Mail!$A100,FIND(W$2,Mail!$A100)+LEN(W$2))-FIND(W$2,Mail!$A100)-LEN(W$2)),LEN(Mail!$A100)-60-FIND(W$2,Mail!$A100)-LEN(W$2),FIND("■",Mail!$A100,FIND(W$2,Mail!$A100)+LEN(W$2))-FIND(W$2,Mail!$A100)-LEN(W$2)-1)))))</f>
        <v/>
      </c>
      <c r="X102" t="str">
        <f>TRIM(IF(ISERROR(FIND(X$2,Mail!$A100)),"",MID(Mail!$A100,FIND(X$2,Mail!$A100)+LEN(X$2)+1,IF(ISERROR(FIND("■",Mail!$A100,FIND(X$2,Mail!$A100)+LEN(X$2))-FIND(X$2,Mail!$A100)-LEN(X$2)),LEN(Mail!$A100)-60-FIND(X$2,Mail!$A100)-LEN(X$2),FIND("■",Mail!$A100,FIND(X$2,Mail!$A100)+LEN(X$2))-FIND(X$2,Mail!$A100)-LEN(X$2)-1))))</f>
        <v/>
      </c>
      <c r="Y102" t="str">
        <f>TRIM(CLEAN(IF(ISERROR(FIND(Y$2,Mail!$A100)),"",MID(Mail!$A100,FIND(Y$2,Mail!$A100)+LEN(Y$2)+1,IF(ISERROR(FIND("■",Mail!$A100,FIND(Y$2,Mail!$A100)+LEN(Y$2))-FIND(Y$2,Mail!$A100)-LEN(Y$2)),LEN(Mail!$A100)-60-FIND(Y$2,Mail!$A100)-LEN(Y$2),FIND("■",Mail!$A100,FIND(Y$2,Mail!$A100)+LEN(Y$2))-FIND(Y$2,Mail!$A100)-LEN(Y$2)-1)))))</f>
        <v/>
      </c>
      <c r="Z102" t="str">
        <f>TRIM(CLEAN(IF(ISERROR(FIND(Z$2,Mail!$A100)),"",MID(Mail!$A100,FIND(Z$2,Mail!$A100)+LEN(Z$2)+1,IF(ISERROR(FIND("■",Mail!$A100,FIND(Z$2,Mail!$A100)+LEN(Z$2))-FIND(Z$2,Mail!$A100)-LEN(Z$2)),LEN(Mail!$A100)-60-FIND(Z$2,Mail!$A100)-LEN(Z$2),FIND("■",Mail!$A100,FIND(Z$2,Mail!$A100)+LEN(Z$2))-FIND(Z$2,Mail!$A100)-LEN(Z$2)-1)))))</f>
        <v/>
      </c>
      <c r="AA102" t="str">
        <f>TRIM(CLEAN(IF(ISERROR(FIND(AA$2,Mail!$A100)),"",MID(Mail!$A100,FIND(AA$2,Mail!$A100)+LEN(AA$2)+1,IF(ISERROR(FIND("■",Mail!$A100,FIND(AA$2,Mail!$A100)+LEN(AA$2))-FIND(AA$2,Mail!$A100)-LEN(AA$2)),LEN(Mail!$A100)-60-FIND(AA$2,Mail!$A100)-LEN(AA$2),FIND("■",Mail!$A100,FIND(AA$2,Mail!$A100)+LEN(AA$2))-FIND(AA$2,Mail!$A100)-LEN(AA$2)-1)))))</f>
        <v/>
      </c>
      <c r="AB102" t="str">
        <f>TRIM(CLEAN(IF(ISERROR(FIND(AB$2,Mail!$A100)),"",MID(Mail!$A100,FIND(AB$2,Mail!$A100)+LEN(AB$2)+1,IF(ISERROR(FIND("■",Mail!$A100,FIND(AB$2,Mail!$A100)+LEN(AB$2))-FIND(AB$2,Mail!$A100)-LEN(AB$2)),LEN(Mail!$A100)-60-FIND(AB$2,Mail!$A100)-LEN(AB$2),FIND("■",Mail!$A100,FIND(AB$2,Mail!$A100)+LEN(AB$2))-FIND(AB$2,Mail!$A100)-LEN(AB$2)-1)))))</f>
        <v/>
      </c>
      <c r="AC102" s="8" t="str">
        <f>TRIM(CLEAN(IF(ISERROR(FIND(AC$2,Mail!$A100)),"",MID(Mail!$A100,FIND(AC$2,Mail!$A100)+LEN(AC$2)+1,IF(ISERROR(FIND("■",Mail!$A100,FIND(AC$2,Mail!$A100)+LEN(AC$2))-FIND(AC$2,Mail!$A100)-LEN(AC$2)),LEN(Mail!$A100)-60-FIND(AC$2,Mail!$A100)-LEN(AC$2),FIND("■",Mail!$A100,FIND(AC$2,Mail!$A100)+LEN(AC$2))-FIND(AC$2,Mail!$A100)-LEN(AC$2)-1)))))</f>
        <v/>
      </c>
      <c r="AD102" t="str">
        <f>TRIM(CLEAN(IF(ISERROR(FIND(AD$2,Mail!$A100)),"",MID(Mail!$A100,FIND(AD$2,Mail!$A100)+LEN(AD$2)+1,IF(ISERROR(FIND("■",Mail!$A100,FIND(AD$2,Mail!$A100)+LEN(AD$2))-FIND(AD$2,Mail!$A100)-LEN(AD$2)),LEN(Mail!$A100)-60-FIND(AD$2,Mail!$A100)-LEN(AD$2),FIND("■",Mail!$A100,FIND(AD$2,Mail!$A100)+LEN(AD$2))-FIND(AD$2,Mail!$A100)-LEN(AD$2)-1)))))</f>
        <v/>
      </c>
      <c r="AE102" t="str">
        <f>TRIM(CLEAN(IF(ISERROR(FIND(AE$2,Mail!$A100)),"",MID(Mail!$A100,FIND(AE$2,Mail!$A100)+LEN(AE$2)+1,IF(ISERROR(FIND("■",Mail!$A100,FIND(AE$2,Mail!$A100)+LEN(AE$2))-FIND(AE$2,Mail!$A100)-LEN(AE$2)),LEN(Mail!$A100)-60-FIND(AE$2,Mail!$A100)-LEN(AE$2),FIND("■",Mail!$A100,FIND(AE$2,Mail!$A100)+LEN(AE$2))-FIND(AE$2,Mail!$A100)-LEN(AE$2)-1)))))</f>
        <v/>
      </c>
      <c r="AF102" t="str">
        <f>TRIM(CLEAN(IF(ISERROR(FIND(AF$2,Mail!$A100)),"",MID(Mail!$A100,FIND(AF$2,Mail!$A100)+LEN(AF$2)+1,IF(ISERROR(FIND("■",Mail!$A100,FIND(AF$2,Mail!$A100)+LEN(AF$2))-FIND(AF$2,Mail!$A100)-LEN(AF$2)),LEN(Mail!$A100)-60-FIND(AF$2,Mail!$A100)-LEN(AF$2),FIND("■",Mail!$A100,FIND(AF$2,Mail!$A100)+LEN(AF$2))-FIND(AF$2,Mail!$A100)-LEN(AF$2)-1)))))</f>
        <v/>
      </c>
      <c r="AG102" t="str">
        <f>TRIM(IF(ISERROR(FIND(AG$2,Mail!$A100)),"",MID(Mail!$A100,FIND(AG$2,Mail!$A100)+LEN(AG$2)+1,IF(ISERROR(FIND("■",Mail!$A100,FIND(AG$2,Mail!$A100)+LEN(AG$2))-FIND(AG$2,Mail!$A100)-LEN(AG$2)),LEN(Mail!$A100)-60-FIND(AG$2,Mail!$A100)-LEN(AG$2),FIND("■",Mail!$A100,FIND(AG$2,Mail!$A100)+LEN(AG$2))-FIND(AG$2,Mail!$A100)-LEN(AG$2)-1))))</f>
        <v/>
      </c>
      <c r="AH102" t="str">
        <f>TRIM(IF(ISERROR(FIND(AH$2,Mail!$A100)),"",MID(Mail!$A100,FIND(AH$2,Mail!$A100)+LEN(AH$2)+1,IF(ISERROR(FIND("■",Mail!$A100,FIND(AH$2,Mail!$A100)+LEN(AH$2))-FIND(AH$2,Mail!$A100)-LEN(AH$2)),LEN(Mail!$A100)-60-FIND(AH$2,Mail!$A100)-LEN(AH$2),FIND("■",Mail!$A100,FIND(AH$2,Mail!$A100)+LEN(AH$2))-FIND(AH$2,Mail!$A100)-LEN(AH$2)-1))))</f>
        <v/>
      </c>
      <c r="AI102" t="str">
        <f>TRIM(IF(ISERROR(FIND(AI$2,Mail!$A100)),"",MID(Mail!$A100,FIND(AI$2,Mail!$A100)+LEN(AI$2)+1,IF(ISERROR(FIND("■",Mail!$A100,FIND(AI$2,Mail!$A100)+LEN(AI$2))-FIND(AI$2,Mail!$A100)-LEN(AI$2)),LEN(Mail!$A100)-60-FIND(AI$2,Mail!$A100)-LEN(AI$2),FIND("■",Mail!$A100,FIND(AI$2,Mail!$A100)+LEN(AI$2))-FIND(AI$2,Mail!$A100)-LEN(AI$2)-1))))</f>
        <v/>
      </c>
    </row>
    <row r="103" spans="1:35" x14ac:dyDescent="0.15">
      <c r="A103" s="9" t="str">
        <f t="shared" si="6"/>
        <v/>
      </c>
      <c r="B103" s="8" t="str">
        <f>CLEAN(SUBSTITUTE(IF(ISERROR(FIND("yokohama",Mail!$A101)),"",MID(Mail!$A101,FIND("yokohama",Mail!$A101)+LEN("yokohama")+1,FIND("件目",Mail!$A101,FIND("yokohama",Mail!$A101))-(FIND("yokohama",Mail!$A101)+LEN("yokohama")+1)))," ",""))</f>
        <v/>
      </c>
      <c r="C103" s="2" t="str">
        <f t="shared" si="9"/>
        <v/>
      </c>
      <c r="D103" s="9" t="str">
        <f t="shared" si="7"/>
        <v/>
      </c>
      <c r="E103" s="8" t="str">
        <f t="shared" si="8"/>
        <v/>
      </c>
      <c r="F103" t="str">
        <f>TRIM(CLEAN(IF(ISERROR(FIND(F$2,Mail!$A101)),"",MID(Mail!$A101,FIND(F$2,Mail!$A101)+LEN(F$2)+1,IF(ISERROR(FIND("■",Mail!$A101,FIND(F$2,Mail!$A101)+LEN(F$2))-FIND(F$2,Mail!$A101)-LEN(F$2)),LEN(Mail!$A101)-60-FIND(F$2,Mail!$A101)-LEN(F$2),FIND("■",Mail!$A101,FIND(F$2,Mail!$A101)+LEN(F$2))-FIND(F$2,Mail!$A101)-LEN(F$2)-1)))))</f>
        <v/>
      </c>
      <c r="G103" t="str">
        <f>TRIM(CLEAN(IF(ISERROR(FIND(G$2,Mail!$A101)),"",MID(Mail!$A101,FIND(G$2,Mail!$A101)+LEN(G$2)+1,IF(ISERROR(FIND("■",Mail!$A101,FIND(G$2,Mail!$A101)+LEN(G$2))-FIND(G$2,Mail!$A101)-LEN(G$2)),LEN(Mail!$A101)-60-FIND(G$2,Mail!$A101)-LEN(G$2),FIND("■",Mail!$A101,FIND(G$2,Mail!$A101)+LEN(G$2))-FIND(G$2,Mail!$A101)-LEN(G$2)-1)))))</f>
        <v/>
      </c>
      <c r="H103" s="8" t="str">
        <f>TRIM(CLEAN(IF(ISERROR(FIND(H$2,Mail!$A101)),"",MID(Mail!$A101,FIND(H$2,Mail!$A101)+LEN(H$2)+1,IF(ISERROR(FIND("■",Mail!$A101,FIND(H$2,Mail!$A101)+LEN(H$2))-FIND(H$2,Mail!$A101)-LEN(H$2)),LEN(Mail!$A101)-60-FIND(H$2,Mail!$A101)-LEN(H$2),FIND("■",Mail!$A101,FIND(H$2,Mail!$A101)+LEN(H$2))-FIND(H$2,Mail!$A101)-LEN(H$2)-1)))))</f>
        <v/>
      </c>
      <c r="I103" t="str">
        <f>TRIM(CLEAN(IF(ISERROR(FIND(I$2,Mail!$A101)),"",MID(Mail!$A101,FIND(I$2,Mail!$A101)+LEN(I$2)+1,IF(ISERROR(FIND("■",Mail!$A101,FIND(I$2,Mail!$A101)+LEN(I$2))-FIND(I$2,Mail!$A101)-LEN(I$2)),LEN(Mail!$A101)-60-FIND(I$2,Mail!$A101)-LEN(I$2),FIND("■",Mail!$A101,FIND(I$2,Mail!$A101)+LEN(I$2))-FIND(I$2,Mail!$A101)-LEN(I$2)-1)))))</f>
        <v/>
      </c>
      <c r="J103" t="str">
        <f>TRIM(IF(ISERROR(FIND(J$2,Mail!$A101)),"",MID(Mail!$A101,FIND(J$2,Mail!$A101)+LEN(J$2)+1,IF(ISERROR(FIND("■",Mail!$A101,FIND(J$2,Mail!$A101)+LEN(J$2))-FIND(J$2,Mail!$A101)-LEN(J$2)),LEN(Mail!$A101)-60-FIND(J$2,Mail!$A101)-LEN(J$2),FIND("■",Mail!$A101,FIND(J$2,Mail!$A101)+LEN(J$2))-FIND(J$2,Mail!$A101)-LEN(J$2)-1))))</f>
        <v/>
      </c>
      <c r="K103" t="str">
        <f>TRIM(IF(ISERROR(FIND(K$2,Mail!$A101)),"",MID(Mail!$A101,FIND(K$2,Mail!$A101)+LEN(K$2)+1,IF(ISERROR(FIND("■",Mail!$A101,FIND(K$2,Mail!$A101)+LEN(K$2))-FIND(K$2,Mail!$A101)-LEN(K$2)),LEN(Mail!$A101)-60-FIND(K$2,Mail!$A101)-LEN(K$2),FIND("■",Mail!$A101,FIND(K$2,Mail!$A101)+LEN(K$2))-FIND(K$2,Mail!$A101)-LEN(K$2)-1))))</f>
        <v/>
      </c>
      <c r="L103" t="str">
        <f>TRIM(IF(ISERROR(FIND(L$2,Mail!$A101)),"",MID(Mail!$A101,FIND(L$2,Mail!$A101)+LEN(L$2)+1,IF(ISERROR(FIND("■",Mail!$A101,FIND(L$2,Mail!$A101)+LEN(L$2))-FIND(L$2,Mail!$A101)-LEN(L$2)),LEN(Mail!$A101)-60-FIND(L$2,Mail!$A101)-LEN(L$2),FIND("■",Mail!$A101,FIND(L$2,Mail!$A101)+LEN(L$2))-FIND(L$2,Mail!$A101)-LEN(L$2)-1))))</f>
        <v/>
      </c>
      <c r="M103" t="str">
        <f>TRIM(CLEAN(IF(ISERROR(FIND(M$2,Mail!$A101)),"",MID(Mail!$A101,FIND(M$2,Mail!$A101)+LEN(M$2)+1,IF(ISERROR(FIND("■",Mail!$A101,FIND(M$2,Mail!$A101)+LEN(M$2))-FIND(M$2,Mail!$A101)-LEN(M$2)),LEN(Mail!$A101)-60-FIND(M$2,Mail!$A101)-LEN(M$2),FIND("■",Mail!$A101,FIND(M$2,Mail!$A101)+LEN(M$2))-FIND(M$2,Mail!$A101)-LEN(M$2)-1)))))</f>
        <v/>
      </c>
      <c r="N103" t="str">
        <f>TRIM(CLEAN(IF(ISERROR(FIND(N$2,Mail!$A101)),"",MID(Mail!$A101,FIND(N$2,Mail!$A101)+LEN(N$2)+1,IF(ISERROR(FIND("■",Mail!$A101,FIND(N$2,Mail!$A101)+LEN(N$2))-FIND(N$2,Mail!$A101)-LEN(N$2)),LEN(Mail!$A101)-60-FIND(N$2,Mail!$A101)-LEN(N$2),FIND("■",Mail!$A101,FIND(N$2,Mail!$A101)+LEN(N$2))-FIND(N$2,Mail!$A101)-LEN(N$2)-1)))))</f>
        <v/>
      </c>
      <c r="O103" t="str">
        <f>TRIM(CLEAN(IF(ISERROR(FIND(O$2,Mail!$A101)),"",MID(Mail!$A101,FIND(O$2,Mail!$A101)+LEN(O$2)+1,IF(ISERROR(FIND("■",Mail!$A101,FIND(O$2,Mail!$A101)+LEN(O$2))-FIND(O$2,Mail!$A101)-LEN(O$2)),LEN(Mail!$A101)-60-FIND(O$2,Mail!$A101)-LEN(O$2),FIND("■",Mail!$A101,FIND(O$2,Mail!$A101)+LEN(O$2))-FIND(O$2,Mail!$A101)-LEN(O$2)-1)))))</f>
        <v/>
      </c>
      <c r="P103" t="str">
        <f>TRIM(CLEAN(IF(ISERROR(FIND(P$2,Mail!$A101)),"",MID(Mail!$A101,FIND(P$2,Mail!$A101)+LEN(P$2)+1,IF(ISERROR(FIND("■",Mail!$A101,FIND(P$2,Mail!$A101)+LEN(P$2))-FIND(P$2,Mail!$A101)-LEN(P$2)),LEN(Mail!$A101)-60-FIND(P$2,Mail!$A101)-LEN(P$2),FIND("■",Mail!$A101,FIND(P$2,Mail!$A101)+LEN(P$2))-FIND(P$2,Mail!$A101)-LEN(P$2)-1)))))</f>
        <v/>
      </c>
      <c r="Q103" t="str">
        <f>TRIM(CLEAN(IF(ISERROR(FIND(Q$2,Mail!$A101)),"",MID(Mail!$A101,FIND(Q$2,Mail!$A101)+LEN(Q$2)+1,IF(ISERROR(FIND("■",Mail!$A101,FIND(Q$2,Mail!$A101)+LEN(Q$2))-FIND(Q$2,Mail!$A101)-LEN(Q$2)),LEN(Mail!$A101)-60-FIND(Q$2,Mail!$A101)-LEN(Q$2),FIND("■",Mail!$A101,FIND(Q$2,Mail!$A101)+LEN(Q$2))-FIND(Q$2,Mail!$A101)-LEN(Q$2)-1)))))</f>
        <v/>
      </c>
      <c r="R103" s="8" t="str">
        <f>TRIM(CLEAN(IF(ISERROR(FIND(R$2,Mail!$A101)),"",MID(Mail!$A101,FIND(R$2,Mail!$A101)+LEN(R$2)+1,IF(ISERROR(FIND("■",Mail!$A101,FIND(R$2,Mail!$A101)+LEN(R$2))-FIND(R$2,Mail!$A101)-LEN(R$2)),LEN(Mail!$A101)-60-FIND(R$2,Mail!$A101)-LEN(R$2),FIND("■",Mail!$A101,FIND(R$2,Mail!$A101)+LEN(R$2))-FIND(R$2,Mail!$A101)-LEN(R$2)-1)))))</f>
        <v/>
      </c>
      <c r="S103" t="str">
        <f>TRIM(CLEAN(IF(ISERROR(FIND(S$2,Mail!$A101)),"",MID(Mail!$A101,FIND(S$2,Mail!$A101)+LEN(S$2)+1,IF(ISERROR(FIND("■",Mail!$A101,FIND(S$2,Mail!$A101)+LEN(S$2))-FIND(S$2,Mail!$A101)-LEN(S$2)),LEN(Mail!$A101)-60-FIND(S$2,Mail!$A101)-LEN(S$2),FIND("■",Mail!$A101,FIND(S$2,Mail!$A101)+LEN(S$2))-FIND(S$2,Mail!$A101)-LEN(S$2)-1)))))</f>
        <v/>
      </c>
      <c r="T103" t="str">
        <f>TRIM(CLEAN(IF(ISERROR(FIND(T$2,Mail!$A101)),"",MID(Mail!$A101,FIND(T$2,Mail!$A101)+LEN(T$2)+1,IF(ISERROR(FIND("■",Mail!$A101,FIND(T$2,Mail!$A101)+LEN(T$2))-FIND(T$2,Mail!$A101)-LEN(T$2)),LEN(Mail!$A101)-60-FIND(T$2,Mail!$A101)-LEN(T$2),FIND("■",Mail!$A101,FIND(T$2,Mail!$A101)+LEN(T$2))-FIND(T$2,Mail!$A101)-LEN(T$2)-1)))))</f>
        <v/>
      </c>
      <c r="U103" t="str">
        <f>TRIM(CLEAN(IF(ISERROR(FIND(U$2,Mail!$A101)),"",MID(Mail!$A101,FIND(U$2,Mail!$A101)+LEN(U$2)+1,IF(ISERROR(FIND("■",Mail!$A101,FIND(U$2,Mail!$A101)+LEN(U$2))-FIND(U$2,Mail!$A101)-LEN(U$2)),LEN(Mail!$A101)-60-FIND(U$2,Mail!$A101)-LEN(U$2),FIND("■",Mail!$A101,FIND(U$2,Mail!$A101)+LEN(U$2))-FIND(U$2,Mail!$A101)-LEN(U$2)-1)))))</f>
        <v/>
      </c>
      <c r="V103" t="str">
        <f>TRIM(CLEAN(IF(ISERROR(FIND(V$2,Mail!$A101)),"",MID(Mail!$A101,FIND(V$2,Mail!$A101)+LEN(V$2)+1,IF(ISERROR(FIND("■",Mail!$A101,FIND(V$2,Mail!$A101)+LEN(V$2))-FIND(V$2,Mail!$A101)-LEN(V$2)),LEN(Mail!$A101)-60-FIND(V$2,Mail!$A101)-LEN(V$2),FIND("■",Mail!$A101,FIND(V$2,Mail!$A101)+LEN(V$2))-FIND(V$2,Mail!$A101)-LEN(V$2)-1)))))</f>
        <v/>
      </c>
      <c r="W103" t="str">
        <f>TRIM(CLEAN(IF(ISERROR(FIND(W$2,Mail!$A101)),"",MID(Mail!$A101,FIND(W$2,Mail!$A101)+LEN(W$2)+1,IF(ISERROR(FIND("■",Mail!$A101,FIND(W$2,Mail!$A101)+LEN(W$2))-FIND(W$2,Mail!$A101)-LEN(W$2)),LEN(Mail!$A101)-60-FIND(W$2,Mail!$A101)-LEN(W$2),FIND("■",Mail!$A101,FIND(W$2,Mail!$A101)+LEN(W$2))-FIND(W$2,Mail!$A101)-LEN(W$2)-1)))))</f>
        <v/>
      </c>
      <c r="X103" t="str">
        <f>TRIM(IF(ISERROR(FIND(X$2,Mail!$A101)),"",MID(Mail!$A101,FIND(X$2,Mail!$A101)+LEN(X$2)+1,IF(ISERROR(FIND("■",Mail!$A101,FIND(X$2,Mail!$A101)+LEN(X$2))-FIND(X$2,Mail!$A101)-LEN(X$2)),LEN(Mail!$A101)-60-FIND(X$2,Mail!$A101)-LEN(X$2),FIND("■",Mail!$A101,FIND(X$2,Mail!$A101)+LEN(X$2))-FIND(X$2,Mail!$A101)-LEN(X$2)-1))))</f>
        <v/>
      </c>
      <c r="Y103" t="str">
        <f>TRIM(CLEAN(IF(ISERROR(FIND(Y$2,Mail!$A101)),"",MID(Mail!$A101,FIND(Y$2,Mail!$A101)+LEN(Y$2)+1,IF(ISERROR(FIND("■",Mail!$A101,FIND(Y$2,Mail!$A101)+LEN(Y$2))-FIND(Y$2,Mail!$A101)-LEN(Y$2)),LEN(Mail!$A101)-60-FIND(Y$2,Mail!$A101)-LEN(Y$2),FIND("■",Mail!$A101,FIND(Y$2,Mail!$A101)+LEN(Y$2))-FIND(Y$2,Mail!$A101)-LEN(Y$2)-1)))))</f>
        <v/>
      </c>
      <c r="Z103" t="str">
        <f>TRIM(CLEAN(IF(ISERROR(FIND(Z$2,Mail!$A101)),"",MID(Mail!$A101,FIND(Z$2,Mail!$A101)+LEN(Z$2)+1,IF(ISERROR(FIND("■",Mail!$A101,FIND(Z$2,Mail!$A101)+LEN(Z$2))-FIND(Z$2,Mail!$A101)-LEN(Z$2)),LEN(Mail!$A101)-60-FIND(Z$2,Mail!$A101)-LEN(Z$2),FIND("■",Mail!$A101,FIND(Z$2,Mail!$A101)+LEN(Z$2))-FIND(Z$2,Mail!$A101)-LEN(Z$2)-1)))))</f>
        <v/>
      </c>
      <c r="AA103" t="str">
        <f>TRIM(CLEAN(IF(ISERROR(FIND(AA$2,Mail!$A101)),"",MID(Mail!$A101,FIND(AA$2,Mail!$A101)+LEN(AA$2)+1,IF(ISERROR(FIND("■",Mail!$A101,FIND(AA$2,Mail!$A101)+LEN(AA$2))-FIND(AA$2,Mail!$A101)-LEN(AA$2)),LEN(Mail!$A101)-60-FIND(AA$2,Mail!$A101)-LEN(AA$2),FIND("■",Mail!$A101,FIND(AA$2,Mail!$A101)+LEN(AA$2))-FIND(AA$2,Mail!$A101)-LEN(AA$2)-1)))))</f>
        <v/>
      </c>
      <c r="AB103" t="str">
        <f>TRIM(CLEAN(IF(ISERROR(FIND(AB$2,Mail!$A101)),"",MID(Mail!$A101,FIND(AB$2,Mail!$A101)+LEN(AB$2)+1,IF(ISERROR(FIND("■",Mail!$A101,FIND(AB$2,Mail!$A101)+LEN(AB$2))-FIND(AB$2,Mail!$A101)-LEN(AB$2)),LEN(Mail!$A101)-60-FIND(AB$2,Mail!$A101)-LEN(AB$2),FIND("■",Mail!$A101,FIND(AB$2,Mail!$A101)+LEN(AB$2))-FIND(AB$2,Mail!$A101)-LEN(AB$2)-1)))))</f>
        <v/>
      </c>
      <c r="AC103" s="8" t="str">
        <f>TRIM(CLEAN(IF(ISERROR(FIND(AC$2,Mail!$A101)),"",MID(Mail!$A101,FIND(AC$2,Mail!$A101)+LEN(AC$2)+1,IF(ISERROR(FIND("■",Mail!$A101,FIND(AC$2,Mail!$A101)+LEN(AC$2))-FIND(AC$2,Mail!$A101)-LEN(AC$2)),LEN(Mail!$A101)-60-FIND(AC$2,Mail!$A101)-LEN(AC$2),FIND("■",Mail!$A101,FIND(AC$2,Mail!$A101)+LEN(AC$2))-FIND(AC$2,Mail!$A101)-LEN(AC$2)-1)))))</f>
        <v/>
      </c>
      <c r="AD103" t="str">
        <f>TRIM(CLEAN(IF(ISERROR(FIND(AD$2,Mail!$A101)),"",MID(Mail!$A101,FIND(AD$2,Mail!$A101)+LEN(AD$2)+1,IF(ISERROR(FIND("■",Mail!$A101,FIND(AD$2,Mail!$A101)+LEN(AD$2))-FIND(AD$2,Mail!$A101)-LEN(AD$2)),LEN(Mail!$A101)-60-FIND(AD$2,Mail!$A101)-LEN(AD$2),FIND("■",Mail!$A101,FIND(AD$2,Mail!$A101)+LEN(AD$2))-FIND(AD$2,Mail!$A101)-LEN(AD$2)-1)))))</f>
        <v/>
      </c>
      <c r="AE103" t="str">
        <f>TRIM(CLEAN(IF(ISERROR(FIND(AE$2,Mail!$A101)),"",MID(Mail!$A101,FIND(AE$2,Mail!$A101)+LEN(AE$2)+1,IF(ISERROR(FIND("■",Mail!$A101,FIND(AE$2,Mail!$A101)+LEN(AE$2))-FIND(AE$2,Mail!$A101)-LEN(AE$2)),LEN(Mail!$A101)-60-FIND(AE$2,Mail!$A101)-LEN(AE$2),FIND("■",Mail!$A101,FIND(AE$2,Mail!$A101)+LEN(AE$2))-FIND(AE$2,Mail!$A101)-LEN(AE$2)-1)))))</f>
        <v/>
      </c>
      <c r="AF103" t="str">
        <f>TRIM(CLEAN(IF(ISERROR(FIND(AF$2,Mail!$A101)),"",MID(Mail!$A101,FIND(AF$2,Mail!$A101)+LEN(AF$2)+1,IF(ISERROR(FIND("■",Mail!$A101,FIND(AF$2,Mail!$A101)+LEN(AF$2))-FIND(AF$2,Mail!$A101)-LEN(AF$2)),LEN(Mail!$A101)-60-FIND(AF$2,Mail!$A101)-LEN(AF$2),FIND("■",Mail!$A101,FIND(AF$2,Mail!$A101)+LEN(AF$2))-FIND(AF$2,Mail!$A101)-LEN(AF$2)-1)))))</f>
        <v/>
      </c>
      <c r="AG103" t="str">
        <f>TRIM(IF(ISERROR(FIND(AG$2,Mail!$A101)),"",MID(Mail!$A101,FIND(AG$2,Mail!$A101)+LEN(AG$2)+1,IF(ISERROR(FIND("■",Mail!$A101,FIND(AG$2,Mail!$A101)+LEN(AG$2))-FIND(AG$2,Mail!$A101)-LEN(AG$2)),LEN(Mail!$A101)-60-FIND(AG$2,Mail!$A101)-LEN(AG$2),FIND("■",Mail!$A101,FIND(AG$2,Mail!$A101)+LEN(AG$2))-FIND(AG$2,Mail!$A101)-LEN(AG$2)-1))))</f>
        <v/>
      </c>
      <c r="AH103" t="str">
        <f>TRIM(IF(ISERROR(FIND(AH$2,Mail!$A101)),"",MID(Mail!$A101,FIND(AH$2,Mail!$A101)+LEN(AH$2)+1,IF(ISERROR(FIND("■",Mail!$A101,FIND(AH$2,Mail!$A101)+LEN(AH$2))-FIND(AH$2,Mail!$A101)-LEN(AH$2)),LEN(Mail!$A101)-60-FIND(AH$2,Mail!$A101)-LEN(AH$2),FIND("■",Mail!$A101,FIND(AH$2,Mail!$A101)+LEN(AH$2))-FIND(AH$2,Mail!$A101)-LEN(AH$2)-1))))</f>
        <v/>
      </c>
      <c r="AI103" t="str">
        <f>TRIM(IF(ISERROR(FIND(AI$2,Mail!$A101)),"",MID(Mail!$A101,FIND(AI$2,Mail!$A101)+LEN(AI$2)+1,IF(ISERROR(FIND("■",Mail!$A101,FIND(AI$2,Mail!$A101)+LEN(AI$2))-FIND(AI$2,Mail!$A101)-LEN(AI$2)),LEN(Mail!$A101)-60-FIND(AI$2,Mail!$A101)-LEN(AI$2),FIND("■",Mail!$A101,FIND(AI$2,Mail!$A101)+LEN(AI$2))-FIND(AI$2,Mail!$A101)-LEN(AI$2)-1))))</f>
        <v/>
      </c>
    </row>
    <row r="104" spans="1:35" x14ac:dyDescent="0.15">
      <c r="A104" s="9" t="str">
        <f t="shared" si="6"/>
        <v/>
      </c>
      <c r="B104" s="8" t="str">
        <f>CLEAN(SUBSTITUTE(IF(ISERROR(FIND("yokohama",Mail!$A102)),"",MID(Mail!$A102,FIND("yokohama",Mail!$A102)+LEN("yokohama")+1,FIND("件目",Mail!$A102,FIND("yokohama",Mail!$A102))-(FIND("yokohama",Mail!$A102)+LEN("yokohama")+1)))," ",""))</f>
        <v/>
      </c>
      <c r="C104" s="2" t="str">
        <f t="shared" si="9"/>
        <v/>
      </c>
      <c r="D104" s="9" t="str">
        <f t="shared" si="7"/>
        <v/>
      </c>
      <c r="E104" s="8" t="str">
        <f t="shared" si="8"/>
        <v/>
      </c>
      <c r="F104" t="str">
        <f>TRIM(CLEAN(IF(ISERROR(FIND(F$2,Mail!$A102)),"",MID(Mail!$A102,FIND(F$2,Mail!$A102)+LEN(F$2)+1,IF(ISERROR(FIND("■",Mail!$A102,FIND(F$2,Mail!$A102)+LEN(F$2))-FIND(F$2,Mail!$A102)-LEN(F$2)),LEN(Mail!$A102)-60-FIND(F$2,Mail!$A102)-LEN(F$2),FIND("■",Mail!$A102,FIND(F$2,Mail!$A102)+LEN(F$2))-FIND(F$2,Mail!$A102)-LEN(F$2)-1)))))</f>
        <v/>
      </c>
      <c r="G104" t="str">
        <f>TRIM(CLEAN(IF(ISERROR(FIND(G$2,Mail!$A102)),"",MID(Mail!$A102,FIND(G$2,Mail!$A102)+LEN(G$2)+1,IF(ISERROR(FIND("■",Mail!$A102,FIND(G$2,Mail!$A102)+LEN(G$2))-FIND(G$2,Mail!$A102)-LEN(G$2)),LEN(Mail!$A102)-60-FIND(G$2,Mail!$A102)-LEN(G$2),FIND("■",Mail!$A102,FIND(G$2,Mail!$A102)+LEN(G$2))-FIND(G$2,Mail!$A102)-LEN(G$2)-1)))))</f>
        <v/>
      </c>
      <c r="H104" s="8" t="str">
        <f>TRIM(CLEAN(IF(ISERROR(FIND(H$2,Mail!$A102)),"",MID(Mail!$A102,FIND(H$2,Mail!$A102)+LEN(H$2)+1,IF(ISERROR(FIND("■",Mail!$A102,FIND(H$2,Mail!$A102)+LEN(H$2))-FIND(H$2,Mail!$A102)-LEN(H$2)),LEN(Mail!$A102)-60-FIND(H$2,Mail!$A102)-LEN(H$2),FIND("■",Mail!$A102,FIND(H$2,Mail!$A102)+LEN(H$2))-FIND(H$2,Mail!$A102)-LEN(H$2)-1)))))</f>
        <v/>
      </c>
      <c r="I104" t="str">
        <f>TRIM(CLEAN(IF(ISERROR(FIND(I$2,Mail!$A102)),"",MID(Mail!$A102,FIND(I$2,Mail!$A102)+LEN(I$2)+1,IF(ISERROR(FIND("■",Mail!$A102,FIND(I$2,Mail!$A102)+LEN(I$2))-FIND(I$2,Mail!$A102)-LEN(I$2)),LEN(Mail!$A102)-60-FIND(I$2,Mail!$A102)-LEN(I$2),FIND("■",Mail!$A102,FIND(I$2,Mail!$A102)+LEN(I$2))-FIND(I$2,Mail!$A102)-LEN(I$2)-1)))))</f>
        <v/>
      </c>
      <c r="J104" t="str">
        <f>TRIM(IF(ISERROR(FIND(J$2,Mail!$A102)),"",MID(Mail!$A102,FIND(J$2,Mail!$A102)+LEN(J$2)+1,IF(ISERROR(FIND("■",Mail!$A102,FIND(J$2,Mail!$A102)+LEN(J$2))-FIND(J$2,Mail!$A102)-LEN(J$2)),LEN(Mail!$A102)-60-FIND(J$2,Mail!$A102)-LEN(J$2),FIND("■",Mail!$A102,FIND(J$2,Mail!$A102)+LEN(J$2))-FIND(J$2,Mail!$A102)-LEN(J$2)-1))))</f>
        <v/>
      </c>
      <c r="K104" t="str">
        <f>TRIM(IF(ISERROR(FIND(K$2,Mail!$A102)),"",MID(Mail!$A102,FIND(K$2,Mail!$A102)+LEN(K$2)+1,IF(ISERROR(FIND("■",Mail!$A102,FIND(K$2,Mail!$A102)+LEN(K$2))-FIND(K$2,Mail!$A102)-LEN(K$2)),LEN(Mail!$A102)-60-FIND(K$2,Mail!$A102)-LEN(K$2),FIND("■",Mail!$A102,FIND(K$2,Mail!$A102)+LEN(K$2))-FIND(K$2,Mail!$A102)-LEN(K$2)-1))))</f>
        <v/>
      </c>
      <c r="L104" t="str">
        <f>TRIM(IF(ISERROR(FIND(L$2,Mail!$A102)),"",MID(Mail!$A102,FIND(L$2,Mail!$A102)+LEN(L$2)+1,IF(ISERROR(FIND("■",Mail!$A102,FIND(L$2,Mail!$A102)+LEN(L$2))-FIND(L$2,Mail!$A102)-LEN(L$2)),LEN(Mail!$A102)-60-FIND(L$2,Mail!$A102)-LEN(L$2),FIND("■",Mail!$A102,FIND(L$2,Mail!$A102)+LEN(L$2))-FIND(L$2,Mail!$A102)-LEN(L$2)-1))))</f>
        <v/>
      </c>
      <c r="M104" t="str">
        <f>TRIM(CLEAN(IF(ISERROR(FIND(M$2,Mail!$A102)),"",MID(Mail!$A102,FIND(M$2,Mail!$A102)+LEN(M$2)+1,IF(ISERROR(FIND("■",Mail!$A102,FIND(M$2,Mail!$A102)+LEN(M$2))-FIND(M$2,Mail!$A102)-LEN(M$2)),LEN(Mail!$A102)-60-FIND(M$2,Mail!$A102)-LEN(M$2),FIND("■",Mail!$A102,FIND(M$2,Mail!$A102)+LEN(M$2))-FIND(M$2,Mail!$A102)-LEN(M$2)-1)))))</f>
        <v/>
      </c>
      <c r="N104" t="str">
        <f>TRIM(CLEAN(IF(ISERROR(FIND(N$2,Mail!$A102)),"",MID(Mail!$A102,FIND(N$2,Mail!$A102)+LEN(N$2)+1,IF(ISERROR(FIND("■",Mail!$A102,FIND(N$2,Mail!$A102)+LEN(N$2))-FIND(N$2,Mail!$A102)-LEN(N$2)),LEN(Mail!$A102)-60-FIND(N$2,Mail!$A102)-LEN(N$2),FIND("■",Mail!$A102,FIND(N$2,Mail!$A102)+LEN(N$2))-FIND(N$2,Mail!$A102)-LEN(N$2)-1)))))</f>
        <v/>
      </c>
      <c r="O104" t="str">
        <f>TRIM(CLEAN(IF(ISERROR(FIND(O$2,Mail!$A102)),"",MID(Mail!$A102,FIND(O$2,Mail!$A102)+LEN(O$2)+1,IF(ISERROR(FIND("■",Mail!$A102,FIND(O$2,Mail!$A102)+LEN(O$2))-FIND(O$2,Mail!$A102)-LEN(O$2)),LEN(Mail!$A102)-60-FIND(O$2,Mail!$A102)-LEN(O$2),FIND("■",Mail!$A102,FIND(O$2,Mail!$A102)+LEN(O$2))-FIND(O$2,Mail!$A102)-LEN(O$2)-1)))))</f>
        <v/>
      </c>
      <c r="P104" t="str">
        <f>TRIM(CLEAN(IF(ISERROR(FIND(P$2,Mail!$A102)),"",MID(Mail!$A102,FIND(P$2,Mail!$A102)+LEN(P$2)+1,IF(ISERROR(FIND("■",Mail!$A102,FIND(P$2,Mail!$A102)+LEN(P$2))-FIND(P$2,Mail!$A102)-LEN(P$2)),LEN(Mail!$A102)-60-FIND(P$2,Mail!$A102)-LEN(P$2),FIND("■",Mail!$A102,FIND(P$2,Mail!$A102)+LEN(P$2))-FIND(P$2,Mail!$A102)-LEN(P$2)-1)))))</f>
        <v/>
      </c>
      <c r="Q104" t="str">
        <f>TRIM(CLEAN(IF(ISERROR(FIND(Q$2,Mail!$A102)),"",MID(Mail!$A102,FIND(Q$2,Mail!$A102)+LEN(Q$2)+1,IF(ISERROR(FIND("■",Mail!$A102,FIND(Q$2,Mail!$A102)+LEN(Q$2))-FIND(Q$2,Mail!$A102)-LEN(Q$2)),LEN(Mail!$A102)-60-FIND(Q$2,Mail!$A102)-LEN(Q$2),FIND("■",Mail!$A102,FIND(Q$2,Mail!$A102)+LEN(Q$2))-FIND(Q$2,Mail!$A102)-LEN(Q$2)-1)))))</f>
        <v/>
      </c>
      <c r="R104" s="8" t="str">
        <f>TRIM(CLEAN(IF(ISERROR(FIND(R$2,Mail!$A102)),"",MID(Mail!$A102,FIND(R$2,Mail!$A102)+LEN(R$2)+1,IF(ISERROR(FIND("■",Mail!$A102,FIND(R$2,Mail!$A102)+LEN(R$2))-FIND(R$2,Mail!$A102)-LEN(R$2)),LEN(Mail!$A102)-60-FIND(R$2,Mail!$A102)-LEN(R$2),FIND("■",Mail!$A102,FIND(R$2,Mail!$A102)+LEN(R$2))-FIND(R$2,Mail!$A102)-LEN(R$2)-1)))))</f>
        <v/>
      </c>
      <c r="S104" t="str">
        <f>TRIM(CLEAN(IF(ISERROR(FIND(S$2,Mail!$A102)),"",MID(Mail!$A102,FIND(S$2,Mail!$A102)+LEN(S$2)+1,IF(ISERROR(FIND("■",Mail!$A102,FIND(S$2,Mail!$A102)+LEN(S$2))-FIND(S$2,Mail!$A102)-LEN(S$2)),LEN(Mail!$A102)-60-FIND(S$2,Mail!$A102)-LEN(S$2),FIND("■",Mail!$A102,FIND(S$2,Mail!$A102)+LEN(S$2))-FIND(S$2,Mail!$A102)-LEN(S$2)-1)))))</f>
        <v/>
      </c>
      <c r="T104" t="str">
        <f>TRIM(CLEAN(IF(ISERROR(FIND(T$2,Mail!$A102)),"",MID(Mail!$A102,FIND(T$2,Mail!$A102)+LEN(T$2)+1,IF(ISERROR(FIND("■",Mail!$A102,FIND(T$2,Mail!$A102)+LEN(T$2))-FIND(T$2,Mail!$A102)-LEN(T$2)),LEN(Mail!$A102)-60-FIND(T$2,Mail!$A102)-LEN(T$2),FIND("■",Mail!$A102,FIND(T$2,Mail!$A102)+LEN(T$2))-FIND(T$2,Mail!$A102)-LEN(T$2)-1)))))</f>
        <v/>
      </c>
      <c r="U104" t="str">
        <f>TRIM(CLEAN(IF(ISERROR(FIND(U$2,Mail!$A102)),"",MID(Mail!$A102,FIND(U$2,Mail!$A102)+LEN(U$2)+1,IF(ISERROR(FIND("■",Mail!$A102,FIND(U$2,Mail!$A102)+LEN(U$2))-FIND(U$2,Mail!$A102)-LEN(U$2)),LEN(Mail!$A102)-60-FIND(U$2,Mail!$A102)-LEN(U$2),FIND("■",Mail!$A102,FIND(U$2,Mail!$A102)+LEN(U$2))-FIND(U$2,Mail!$A102)-LEN(U$2)-1)))))</f>
        <v/>
      </c>
      <c r="V104" t="str">
        <f>TRIM(CLEAN(IF(ISERROR(FIND(V$2,Mail!$A102)),"",MID(Mail!$A102,FIND(V$2,Mail!$A102)+LEN(V$2)+1,IF(ISERROR(FIND("■",Mail!$A102,FIND(V$2,Mail!$A102)+LEN(V$2))-FIND(V$2,Mail!$A102)-LEN(V$2)),LEN(Mail!$A102)-60-FIND(V$2,Mail!$A102)-LEN(V$2),FIND("■",Mail!$A102,FIND(V$2,Mail!$A102)+LEN(V$2))-FIND(V$2,Mail!$A102)-LEN(V$2)-1)))))</f>
        <v/>
      </c>
      <c r="W104" t="str">
        <f>TRIM(CLEAN(IF(ISERROR(FIND(W$2,Mail!$A102)),"",MID(Mail!$A102,FIND(W$2,Mail!$A102)+LEN(W$2)+1,IF(ISERROR(FIND("■",Mail!$A102,FIND(W$2,Mail!$A102)+LEN(W$2))-FIND(W$2,Mail!$A102)-LEN(W$2)),LEN(Mail!$A102)-60-FIND(W$2,Mail!$A102)-LEN(W$2),FIND("■",Mail!$A102,FIND(W$2,Mail!$A102)+LEN(W$2))-FIND(W$2,Mail!$A102)-LEN(W$2)-1)))))</f>
        <v/>
      </c>
      <c r="X104" t="str">
        <f>TRIM(IF(ISERROR(FIND(X$2,Mail!$A102)),"",MID(Mail!$A102,FIND(X$2,Mail!$A102)+LEN(X$2)+1,IF(ISERROR(FIND("■",Mail!$A102,FIND(X$2,Mail!$A102)+LEN(X$2))-FIND(X$2,Mail!$A102)-LEN(X$2)),LEN(Mail!$A102)-60-FIND(X$2,Mail!$A102)-LEN(X$2),FIND("■",Mail!$A102,FIND(X$2,Mail!$A102)+LEN(X$2))-FIND(X$2,Mail!$A102)-LEN(X$2)-1))))</f>
        <v/>
      </c>
      <c r="Y104" t="str">
        <f>TRIM(CLEAN(IF(ISERROR(FIND(Y$2,Mail!$A102)),"",MID(Mail!$A102,FIND(Y$2,Mail!$A102)+LEN(Y$2)+1,IF(ISERROR(FIND("■",Mail!$A102,FIND(Y$2,Mail!$A102)+LEN(Y$2))-FIND(Y$2,Mail!$A102)-LEN(Y$2)),LEN(Mail!$A102)-60-FIND(Y$2,Mail!$A102)-LEN(Y$2),FIND("■",Mail!$A102,FIND(Y$2,Mail!$A102)+LEN(Y$2))-FIND(Y$2,Mail!$A102)-LEN(Y$2)-1)))))</f>
        <v/>
      </c>
      <c r="Z104" t="str">
        <f>TRIM(CLEAN(IF(ISERROR(FIND(Z$2,Mail!$A102)),"",MID(Mail!$A102,FIND(Z$2,Mail!$A102)+LEN(Z$2)+1,IF(ISERROR(FIND("■",Mail!$A102,FIND(Z$2,Mail!$A102)+LEN(Z$2))-FIND(Z$2,Mail!$A102)-LEN(Z$2)),LEN(Mail!$A102)-60-FIND(Z$2,Mail!$A102)-LEN(Z$2),FIND("■",Mail!$A102,FIND(Z$2,Mail!$A102)+LEN(Z$2))-FIND(Z$2,Mail!$A102)-LEN(Z$2)-1)))))</f>
        <v/>
      </c>
      <c r="AA104" t="str">
        <f>TRIM(CLEAN(IF(ISERROR(FIND(AA$2,Mail!$A102)),"",MID(Mail!$A102,FIND(AA$2,Mail!$A102)+LEN(AA$2)+1,IF(ISERROR(FIND("■",Mail!$A102,FIND(AA$2,Mail!$A102)+LEN(AA$2))-FIND(AA$2,Mail!$A102)-LEN(AA$2)),LEN(Mail!$A102)-60-FIND(AA$2,Mail!$A102)-LEN(AA$2),FIND("■",Mail!$A102,FIND(AA$2,Mail!$A102)+LEN(AA$2))-FIND(AA$2,Mail!$A102)-LEN(AA$2)-1)))))</f>
        <v/>
      </c>
      <c r="AB104" t="str">
        <f>TRIM(CLEAN(IF(ISERROR(FIND(AB$2,Mail!$A102)),"",MID(Mail!$A102,FIND(AB$2,Mail!$A102)+LEN(AB$2)+1,IF(ISERROR(FIND("■",Mail!$A102,FIND(AB$2,Mail!$A102)+LEN(AB$2))-FIND(AB$2,Mail!$A102)-LEN(AB$2)),LEN(Mail!$A102)-60-FIND(AB$2,Mail!$A102)-LEN(AB$2),FIND("■",Mail!$A102,FIND(AB$2,Mail!$A102)+LEN(AB$2))-FIND(AB$2,Mail!$A102)-LEN(AB$2)-1)))))</f>
        <v/>
      </c>
      <c r="AC104" s="8" t="str">
        <f>TRIM(CLEAN(IF(ISERROR(FIND(AC$2,Mail!$A102)),"",MID(Mail!$A102,FIND(AC$2,Mail!$A102)+LEN(AC$2)+1,IF(ISERROR(FIND("■",Mail!$A102,FIND(AC$2,Mail!$A102)+LEN(AC$2))-FIND(AC$2,Mail!$A102)-LEN(AC$2)),LEN(Mail!$A102)-60-FIND(AC$2,Mail!$A102)-LEN(AC$2),FIND("■",Mail!$A102,FIND(AC$2,Mail!$A102)+LEN(AC$2))-FIND(AC$2,Mail!$A102)-LEN(AC$2)-1)))))</f>
        <v/>
      </c>
      <c r="AD104" t="str">
        <f>TRIM(CLEAN(IF(ISERROR(FIND(AD$2,Mail!$A102)),"",MID(Mail!$A102,FIND(AD$2,Mail!$A102)+LEN(AD$2)+1,IF(ISERROR(FIND("■",Mail!$A102,FIND(AD$2,Mail!$A102)+LEN(AD$2))-FIND(AD$2,Mail!$A102)-LEN(AD$2)),LEN(Mail!$A102)-60-FIND(AD$2,Mail!$A102)-LEN(AD$2),FIND("■",Mail!$A102,FIND(AD$2,Mail!$A102)+LEN(AD$2))-FIND(AD$2,Mail!$A102)-LEN(AD$2)-1)))))</f>
        <v/>
      </c>
      <c r="AE104" t="str">
        <f>TRIM(CLEAN(IF(ISERROR(FIND(AE$2,Mail!$A102)),"",MID(Mail!$A102,FIND(AE$2,Mail!$A102)+LEN(AE$2)+1,IF(ISERROR(FIND("■",Mail!$A102,FIND(AE$2,Mail!$A102)+LEN(AE$2))-FIND(AE$2,Mail!$A102)-LEN(AE$2)),LEN(Mail!$A102)-60-FIND(AE$2,Mail!$A102)-LEN(AE$2),FIND("■",Mail!$A102,FIND(AE$2,Mail!$A102)+LEN(AE$2))-FIND(AE$2,Mail!$A102)-LEN(AE$2)-1)))))</f>
        <v/>
      </c>
      <c r="AF104" t="str">
        <f>TRIM(CLEAN(IF(ISERROR(FIND(AF$2,Mail!$A102)),"",MID(Mail!$A102,FIND(AF$2,Mail!$A102)+LEN(AF$2)+1,IF(ISERROR(FIND("■",Mail!$A102,FIND(AF$2,Mail!$A102)+LEN(AF$2))-FIND(AF$2,Mail!$A102)-LEN(AF$2)),LEN(Mail!$A102)-60-FIND(AF$2,Mail!$A102)-LEN(AF$2),FIND("■",Mail!$A102,FIND(AF$2,Mail!$A102)+LEN(AF$2))-FIND(AF$2,Mail!$A102)-LEN(AF$2)-1)))))</f>
        <v/>
      </c>
      <c r="AG104" t="str">
        <f>TRIM(IF(ISERROR(FIND(AG$2,Mail!$A102)),"",MID(Mail!$A102,FIND(AG$2,Mail!$A102)+LEN(AG$2)+1,IF(ISERROR(FIND("■",Mail!$A102,FIND(AG$2,Mail!$A102)+LEN(AG$2))-FIND(AG$2,Mail!$A102)-LEN(AG$2)),LEN(Mail!$A102)-60-FIND(AG$2,Mail!$A102)-LEN(AG$2),FIND("■",Mail!$A102,FIND(AG$2,Mail!$A102)+LEN(AG$2))-FIND(AG$2,Mail!$A102)-LEN(AG$2)-1))))</f>
        <v/>
      </c>
      <c r="AH104" t="str">
        <f>TRIM(IF(ISERROR(FIND(AH$2,Mail!$A102)),"",MID(Mail!$A102,FIND(AH$2,Mail!$A102)+LEN(AH$2)+1,IF(ISERROR(FIND("■",Mail!$A102,FIND(AH$2,Mail!$A102)+LEN(AH$2))-FIND(AH$2,Mail!$A102)-LEN(AH$2)),LEN(Mail!$A102)-60-FIND(AH$2,Mail!$A102)-LEN(AH$2),FIND("■",Mail!$A102,FIND(AH$2,Mail!$A102)+LEN(AH$2))-FIND(AH$2,Mail!$A102)-LEN(AH$2)-1))))</f>
        <v/>
      </c>
      <c r="AI104" t="str">
        <f>TRIM(IF(ISERROR(FIND(AI$2,Mail!$A102)),"",MID(Mail!$A102,FIND(AI$2,Mail!$A102)+LEN(AI$2)+1,IF(ISERROR(FIND("■",Mail!$A102,FIND(AI$2,Mail!$A102)+LEN(AI$2))-FIND(AI$2,Mail!$A102)-LEN(AI$2)),LEN(Mail!$A102)-60-FIND(AI$2,Mail!$A102)-LEN(AI$2),FIND("■",Mail!$A102,FIND(AI$2,Mail!$A102)+LEN(AI$2))-FIND(AI$2,Mail!$A102)-LEN(AI$2)-1))))</f>
        <v/>
      </c>
    </row>
    <row r="105" spans="1:35" x14ac:dyDescent="0.15">
      <c r="A105" s="9" t="str">
        <f t="shared" si="6"/>
        <v/>
      </c>
      <c r="B105" s="8" t="str">
        <f>CLEAN(SUBSTITUTE(IF(ISERROR(FIND("yokohama",Mail!$A103)),"",MID(Mail!$A103,FIND("yokohama",Mail!$A103)+LEN("yokohama")+1,FIND("件目",Mail!$A103,FIND("yokohama",Mail!$A103))-(FIND("yokohama",Mail!$A103)+LEN("yokohama")+1)))," ",""))</f>
        <v/>
      </c>
      <c r="C105" s="2" t="str">
        <f t="shared" si="9"/>
        <v/>
      </c>
      <c r="D105" s="9" t="str">
        <f t="shared" si="7"/>
        <v/>
      </c>
      <c r="E105" s="8" t="str">
        <f t="shared" si="8"/>
        <v/>
      </c>
      <c r="F105" t="str">
        <f>TRIM(CLEAN(IF(ISERROR(FIND(F$2,Mail!$A103)),"",MID(Mail!$A103,FIND(F$2,Mail!$A103)+LEN(F$2)+1,IF(ISERROR(FIND("■",Mail!$A103,FIND(F$2,Mail!$A103)+LEN(F$2))-FIND(F$2,Mail!$A103)-LEN(F$2)),LEN(Mail!$A103)-60-FIND(F$2,Mail!$A103)-LEN(F$2),FIND("■",Mail!$A103,FIND(F$2,Mail!$A103)+LEN(F$2))-FIND(F$2,Mail!$A103)-LEN(F$2)-1)))))</f>
        <v/>
      </c>
      <c r="G105" t="str">
        <f>TRIM(CLEAN(IF(ISERROR(FIND(G$2,Mail!$A103)),"",MID(Mail!$A103,FIND(G$2,Mail!$A103)+LEN(G$2)+1,IF(ISERROR(FIND("■",Mail!$A103,FIND(G$2,Mail!$A103)+LEN(G$2))-FIND(G$2,Mail!$A103)-LEN(G$2)),LEN(Mail!$A103)-60-FIND(G$2,Mail!$A103)-LEN(G$2),FIND("■",Mail!$A103,FIND(G$2,Mail!$A103)+LEN(G$2))-FIND(G$2,Mail!$A103)-LEN(G$2)-1)))))</f>
        <v/>
      </c>
      <c r="H105" s="8" t="str">
        <f>TRIM(CLEAN(IF(ISERROR(FIND(H$2,Mail!$A103)),"",MID(Mail!$A103,FIND(H$2,Mail!$A103)+LEN(H$2)+1,IF(ISERROR(FIND("■",Mail!$A103,FIND(H$2,Mail!$A103)+LEN(H$2))-FIND(H$2,Mail!$A103)-LEN(H$2)),LEN(Mail!$A103)-60-FIND(H$2,Mail!$A103)-LEN(H$2),FIND("■",Mail!$A103,FIND(H$2,Mail!$A103)+LEN(H$2))-FIND(H$2,Mail!$A103)-LEN(H$2)-1)))))</f>
        <v/>
      </c>
      <c r="I105" t="str">
        <f>TRIM(CLEAN(IF(ISERROR(FIND(I$2,Mail!$A103)),"",MID(Mail!$A103,FIND(I$2,Mail!$A103)+LEN(I$2)+1,IF(ISERROR(FIND("■",Mail!$A103,FIND(I$2,Mail!$A103)+LEN(I$2))-FIND(I$2,Mail!$A103)-LEN(I$2)),LEN(Mail!$A103)-60-FIND(I$2,Mail!$A103)-LEN(I$2),FIND("■",Mail!$A103,FIND(I$2,Mail!$A103)+LEN(I$2))-FIND(I$2,Mail!$A103)-LEN(I$2)-1)))))</f>
        <v/>
      </c>
      <c r="J105" t="str">
        <f>TRIM(IF(ISERROR(FIND(J$2,Mail!$A103)),"",MID(Mail!$A103,FIND(J$2,Mail!$A103)+LEN(J$2)+1,IF(ISERROR(FIND("■",Mail!$A103,FIND(J$2,Mail!$A103)+LEN(J$2))-FIND(J$2,Mail!$A103)-LEN(J$2)),LEN(Mail!$A103)-60-FIND(J$2,Mail!$A103)-LEN(J$2),FIND("■",Mail!$A103,FIND(J$2,Mail!$A103)+LEN(J$2))-FIND(J$2,Mail!$A103)-LEN(J$2)-1))))</f>
        <v/>
      </c>
      <c r="K105" t="str">
        <f>TRIM(IF(ISERROR(FIND(K$2,Mail!$A103)),"",MID(Mail!$A103,FIND(K$2,Mail!$A103)+LEN(K$2)+1,IF(ISERROR(FIND("■",Mail!$A103,FIND(K$2,Mail!$A103)+LEN(K$2))-FIND(K$2,Mail!$A103)-LEN(K$2)),LEN(Mail!$A103)-60-FIND(K$2,Mail!$A103)-LEN(K$2),FIND("■",Mail!$A103,FIND(K$2,Mail!$A103)+LEN(K$2))-FIND(K$2,Mail!$A103)-LEN(K$2)-1))))</f>
        <v/>
      </c>
      <c r="L105" t="str">
        <f>TRIM(IF(ISERROR(FIND(L$2,Mail!$A103)),"",MID(Mail!$A103,FIND(L$2,Mail!$A103)+LEN(L$2)+1,IF(ISERROR(FIND("■",Mail!$A103,FIND(L$2,Mail!$A103)+LEN(L$2))-FIND(L$2,Mail!$A103)-LEN(L$2)),LEN(Mail!$A103)-60-FIND(L$2,Mail!$A103)-LEN(L$2),FIND("■",Mail!$A103,FIND(L$2,Mail!$A103)+LEN(L$2))-FIND(L$2,Mail!$A103)-LEN(L$2)-1))))</f>
        <v/>
      </c>
      <c r="M105" t="str">
        <f>TRIM(CLEAN(IF(ISERROR(FIND(M$2,Mail!$A103)),"",MID(Mail!$A103,FIND(M$2,Mail!$A103)+LEN(M$2)+1,IF(ISERROR(FIND("■",Mail!$A103,FIND(M$2,Mail!$A103)+LEN(M$2))-FIND(M$2,Mail!$A103)-LEN(M$2)),LEN(Mail!$A103)-60-FIND(M$2,Mail!$A103)-LEN(M$2),FIND("■",Mail!$A103,FIND(M$2,Mail!$A103)+LEN(M$2))-FIND(M$2,Mail!$A103)-LEN(M$2)-1)))))</f>
        <v/>
      </c>
      <c r="N105" t="str">
        <f>TRIM(CLEAN(IF(ISERROR(FIND(N$2,Mail!$A103)),"",MID(Mail!$A103,FIND(N$2,Mail!$A103)+LEN(N$2)+1,IF(ISERROR(FIND("■",Mail!$A103,FIND(N$2,Mail!$A103)+LEN(N$2))-FIND(N$2,Mail!$A103)-LEN(N$2)),LEN(Mail!$A103)-60-FIND(N$2,Mail!$A103)-LEN(N$2),FIND("■",Mail!$A103,FIND(N$2,Mail!$A103)+LEN(N$2))-FIND(N$2,Mail!$A103)-LEN(N$2)-1)))))</f>
        <v/>
      </c>
      <c r="O105" t="str">
        <f>TRIM(CLEAN(IF(ISERROR(FIND(O$2,Mail!$A103)),"",MID(Mail!$A103,FIND(O$2,Mail!$A103)+LEN(O$2)+1,IF(ISERROR(FIND("■",Mail!$A103,FIND(O$2,Mail!$A103)+LEN(O$2))-FIND(O$2,Mail!$A103)-LEN(O$2)),LEN(Mail!$A103)-60-FIND(O$2,Mail!$A103)-LEN(O$2),FIND("■",Mail!$A103,FIND(O$2,Mail!$A103)+LEN(O$2))-FIND(O$2,Mail!$A103)-LEN(O$2)-1)))))</f>
        <v/>
      </c>
      <c r="P105" t="str">
        <f>TRIM(CLEAN(IF(ISERROR(FIND(P$2,Mail!$A103)),"",MID(Mail!$A103,FIND(P$2,Mail!$A103)+LEN(P$2)+1,IF(ISERROR(FIND("■",Mail!$A103,FIND(P$2,Mail!$A103)+LEN(P$2))-FIND(P$2,Mail!$A103)-LEN(P$2)),LEN(Mail!$A103)-60-FIND(P$2,Mail!$A103)-LEN(P$2),FIND("■",Mail!$A103,FIND(P$2,Mail!$A103)+LEN(P$2))-FIND(P$2,Mail!$A103)-LEN(P$2)-1)))))</f>
        <v/>
      </c>
      <c r="Q105" t="str">
        <f>TRIM(CLEAN(IF(ISERROR(FIND(Q$2,Mail!$A103)),"",MID(Mail!$A103,FIND(Q$2,Mail!$A103)+LEN(Q$2)+1,IF(ISERROR(FIND("■",Mail!$A103,FIND(Q$2,Mail!$A103)+LEN(Q$2))-FIND(Q$2,Mail!$A103)-LEN(Q$2)),LEN(Mail!$A103)-60-FIND(Q$2,Mail!$A103)-LEN(Q$2),FIND("■",Mail!$A103,FIND(Q$2,Mail!$A103)+LEN(Q$2))-FIND(Q$2,Mail!$A103)-LEN(Q$2)-1)))))</f>
        <v/>
      </c>
      <c r="R105" s="8" t="str">
        <f>TRIM(CLEAN(IF(ISERROR(FIND(R$2,Mail!$A103)),"",MID(Mail!$A103,FIND(R$2,Mail!$A103)+LEN(R$2)+1,IF(ISERROR(FIND("■",Mail!$A103,FIND(R$2,Mail!$A103)+LEN(R$2))-FIND(R$2,Mail!$A103)-LEN(R$2)),LEN(Mail!$A103)-60-FIND(R$2,Mail!$A103)-LEN(R$2),FIND("■",Mail!$A103,FIND(R$2,Mail!$A103)+LEN(R$2))-FIND(R$2,Mail!$A103)-LEN(R$2)-1)))))</f>
        <v/>
      </c>
      <c r="S105" t="str">
        <f>TRIM(CLEAN(IF(ISERROR(FIND(S$2,Mail!$A103)),"",MID(Mail!$A103,FIND(S$2,Mail!$A103)+LEN(S$2)+1,IF(ISERROR(FIND("■",Mail!$A103,FIND(S$2,Mail!$A103)+LEN(S$2))-FIND(S$2,Mail!$A103)-LEN(S$2)),LEN(Mail!$A103)-60-FIND(S$2,Mail!$A103)-LEN(S$2),FIND("■",Mail!$A103,FIND(S$2,Mail!$A103)+LEN(S$2))-FIND(S$2,Mail!$A103)-LEN(S$2)-1)))))</f>
        <v/>
      </c>
      <c r="T105" t="str">
        <f>TRIM(CLEAN(IF(ISERROR(FIND(T$2,Mail!$A103)),"",MID(Mail!$A103,FIND(T$2,Mail!$A103)+LEN(T$2)+1,IF(ISERROR(FIND("■",Mail!$A103,FIND(T$2,Mail!$A103)+LEN(T$2))-FIND(T$2,Mail!$A103)-LEN(T$2)),LEN(Mail!$A103)-60-FIND(T$2,Mail!$A103)-LEN(T$2),FIND("■",Mail!$A103,FIND(T$2,Mail!$A103)+LEN(T$2))-FIND(T$2,Mail!$A103)-LEN(T$2)-1)))))</f>
        <v/>
      </c>
      <c r="U105" t="str">
        <f>TRIM(CLEAN(IF(ISERROR(FIND(U$2,Mail!$A103)),"",MID(Mail!$A103,FIND(U$2,Mail!$A103)+LEN(U$2)+1,IF(ISERROR(FIND("■",Mail!$A103,FIND(U$2,Mail!$A103)+LEN(U$2))-FIND(U$2,Mail!$A103)-LEN(U$2)),LEN(Mail!$A103)-60-FIND(U$2,Mail!$A103)-LEN(U$2),FIND("■",Mail!$A103,FIND(U$2,Mail!$A103)+LEN(U$2))-FIND(U$2,Mail!$A103)-LEN(U$2)-1)))))</f>
        <v/>
      </c>
      <c r="V105" t="str">
        <f>TRIM(CLEAN(IF(ISERROR(FIND(V$2,Mail!$A103)),"",MID(Mail!$A103,FIND(V$2,Mail!$A103)+LEN(V$2)+1,IF(ISERROR(FIND("■",Mail!$A103,FIND(V$2,Mail!$A103)+LEN(V$2))-FIND(V$2,Mail!$A103)-LEN(V$2)),LEN(Mail!$A103)-60-FIND(V$2,Mail!$A103)-LEN(V$2),FIND("■",Mail!$A103,FIND(V$2,Mail!$A103)+LEN(V$2))-FIND(V$2,Mail!$A103)-LEN(V$2)-1)))))</f>
        <v/>
      </c>
      <c r="W105" t="str">
        <f>TRIM(CLEAN(IF(ISERROR(FIND(W$2,Mail!$A103)),"",MID(Mail!$A103,FIND(W$2,Mail!$A103)+LEN(W$2)+1,IF(ISERROR(FIND("■",Mail!$A103,FIND(W$2,Mail!$A103)+LEN(W$2))-FIND(W$2,Mail!$A103)-LEN(W$2)),LEN(Mail!$A103)-60-FIND(W$2,Mail!$A103)-LEN(W$2),FIND("■",Mail!$A103,FIND(W$2,Mail!$A103)+LEN(W$2))-FIND(W$2,Mail!$A103)-LEN(W$2)-1)))))</f>
        <v/>
      </c>
      <c r="X105" t="str">
        <f>TRIM(IF(ISERROR(FIND(X$2,Mail!$A103)),"",MID(Mail!$A103,FIND(X$2,Mail!$A103)+LEN(X$2)+1,IF(ISERROR(FIND("■",Mail!$A103,FIND(X$2,Mail!$A103)+LEN(X$2))-FIND(X$2,Mail!$A103)-LEN(X$2)),LEN(Mail!$A103)-60-FIND(X$2,Mail!$A103)-LEN(X$2),FIND("■",Mail!$A103,FIND(X$2,Mail!$A103)+LEN(X$2))-FIND(X$2,Mail!$A103)-LEN(X$2)-1))))</f>
        <v/>
      </c>
      <c r="Y105" t="str">
        <f>TRIM(CLEAN(IF(ISERROR(FIND(Y$2,Mail!$A103)),"",MID(Mail!$A103,FIND(Y$2,Mail!$A103)+LEN(Y$2)+1,IF(ISERROR(FIND("■",Mail!$A103,FIND(Y$2,Mail!$A103)+LEN(Y$2))-FIND(Y$2,Mail!$A103)-LEN(Y$2)),LEN(Mail!$A103)-60-FIND(Y$2,Mail!$A103)-LEN(Y$2),FIND("■",Mail!$A103,FIND(Y$2,Mail!$A103)+LEN(Y$2))-FIND(Y$2,Mail!$A103)-LEN(Y$2)-1)))))</f>
        <v/>
      </c>
      <c r="Z105" t="str">
        <f>TRIM(CLEAN(IF(ISERROR(FIND(Z$2,Mail!$A103)),"",MID(Mail!$A103,FIND(Z$2,Mail!$A103)+LEN(Z$2)+1,IF(ISERROR(FIND("■",Mail!$A103,FIND(Z$2,Mail!$A103)+LEN(Z$2))-FIND(Z$2,Mail!$A103)-LEN(Z$2)),LEN(Mail!$A103)-60-FIND(Z$2,Mail!$A103)-LEN(Z$2),FIND("■",Mail!$A103,FIND(Z$2,Mail!$A103)+LEN(Z$2))-FIND(Z$2,Mail!$A103)-LEN(Z$2)-1)))))</f>
        <v/>
      </c>
      <c r="AA105" t="str">
        <f>TRIM(CLEAN(IF(ISERROR(FIND(AA$2,Mail!$A103)),"",MID(Mail!$A103,FIND(AA$2,Mail!$A103)+LEN(AA$2)+1,IF(ISERROR(FIND("■",Mail!$A103,FIND(AA$2,Mail!$A103)+LEN(AA$2))-FIND(AA$2,Mail!$A103)-LEN(AA$2)),LEN(Mail!$A103)-60-FIND(AA$2,Mail!$A103)-LEN(AA$2),FIND("■",Mail!$A103,FIND(AA$2,Mail!$A103)+LEN(AA$2))-FIND(AA$2,Mail!$A103)-LEN(AA$2)-1)))))</f>
        <v/>
      </c>
      <c r="AB105" t="str">
        <f>TRIM(CLEAN(IF(ISERROR(FIND(AB$2,Mail!$A103)),"",MID(Mail!$A103,FIND(AB$2,Mail!$A103)+LEN(AB$2)+1,IF(ISERROR(FIND("■",Mail!$A103,FIND(AB$2,Mail!$A103)+LEN(AB$2))-FIND(AB$2,Mail!$A103)-LEN(AB$2)),LEN(Mail!$A103)-60-FIND(AB$2,Mail!$A103)-LEN(AB$2),FIND("■",Mail!$A103,FIND(AB$2,Mail!$A103)+LEN(AB$2))-FIND(AB$2,Mail!$A103)-LEN(AB$2)-1)))))</f>
        <v/>
      </c>
      <c r="AC105" s="8" t="str">
        <f>TRIM(CLEAN(IF(ISERROR(FIND(AC$2,Mail!$A103)),"",MID(Mail!$A103,FIND(AC$2,Mail!$A103)+LEN(AC$2)+1,IF(ISERROR(FIND("■",Mail!$A103,FIND(AC$2,Mail!$A103)+LEN(AC$2))-FIND(AC$2,Mail!$A103)-LEN(AC$2)),LEN(Mail!$A103)-60-FIND(AC$2,Mail!$A103)-LEN(AC$2),FIND("■",Mail!$A103,FIND(AC$2,Mail!$A103)+LEN(AC$2))-FIND(AC$2,Mail!$A103)-LEN(AC$2)-1)))))</f>
        <v/>
      </c>
      <c r="AD105" t="str">
        <f>TRIM(CLEAN(IF(ISERROR(FIND(AD$2,Mail!$A103)),"",MID(Mail!$A103,FIND(AD$2,Mail!$A103)+LEN(AD$2)+1,IF(ISERROR(FIND("■",Mail!$A103,FIND(AD$2,Mail!$A103)+LEN(AD$2))-FIND(AD$2,Mail!$A103)-LEN(AD$2)),LEN(Mail!$A103)-60-FIND(AD$2,Mail!$A103)-LEN(AD$2),FIND("■",Mail!$A103,FIND(AD$2,Mail!$A103)+LEN(AD$2))-FIND(AD$2,Mail!$A103)-LEN(AD$2)-1)))))</f>
        <v/>
      </c>
      <c r="AE105" t="str">
        <f>TRIM(CLEAN(IF(ISERROR(FIND(AE$2,Mail!$A103)),"",MID(Mail!$A103,FIND(AE$2,Mail!$A103)+LEN(AE$2)+1,IF(ISERROR(FIND("■",Mail!$A103,FIND(AE$2,Mail!$A103)+LEN(AE$2))-FIND(AE$2,Mail!$A103)-LEN(AE$2)),LEN(Mail!$A103)-60-FIND(AE$2,Mail!$A103)-LEN(AE$2),FIND("■",Mail!$A103,FIND(AE$2,Mail!$A103)+LEN(AE$2))-FIND(AE$2,Mail!$A103)-LEN(AE$2)-1)))))</f>
        <v/>
      </c>
      <c r="AF105" t="str">
        <f>TRIM(CLEAN(IF(ISERROR(FIND(AF$2,Mail!$A103)),"",MID(Mail!$A103,FIND(AF$2,Mail!$A103)+LEN(AF$2)+1,IF(ISERROR(FIND("■",Mail!$A103,FIND(AF$2,Mail!$A103)+LEN(AF$2))-FIND(AF$2,Mail!$A103)-LEN(AF$2)),LEN(Mail!$A103)-60-FIND(AF$2,Mail!$A103)-LEN(AF$2),FIND("■",Mail!$A103,FIND(AF$2,Mail!$A103)+LEN(AF$2))-FIND(AF$2,Mail!$A103)-LEN(AF$2)-1)))))</f>
        <v/>
      </c>
      <c r="AG105" t="str">
        <f>TRIM(IF(ISERROR(FIND(AG$2,Mail!$A103)),"",MID(Mail!$A103,FIND(AG$2,Mail!$A103)+LEN(AG$2)+1,IF(ISERROR(FIND("■",Mail!$A103,FIND(AG$2,Mail!$A103)+LEN(AG$2))-FIND(AG$2,Mail!$A103)-LEN(AG$2)),LEN(Mail!$A103)-60-FIND(AG$2,Mail!$A103)-LEN(AG$2),FIND("■",Mail!$A103,FIND(AG$2,Mail!$A103)+LEN(AG$2))-FIND(AG$2,Mail!$A103)-LEN(AG$2)-1))))</f>
        <v/>
      </c>
      <c r="AH105" t="str">
        <f>TRIM(IF(ISERROR(FIND(AH$2,Mail!$A103)),"",MID(Mail!$A103,FIND(AH$2,Mail!$A103)+LEN(AH$2)+1,IF(ISERROR(FIND("■",Mail!$A103,FIND(AH$2,Mail!$A103)+LEN(AH$2))-FIND(AH$2,Mail!$A103)-LEN(AH$2)),LEN(Mail!$A103)-60-FIND(AH$2,Mail!$A103)-LEN(AH$2),FIND("■",Mail!$A103,FIND(AH$2,Mail!$A103)+LEN(AH$2))-FIND(AH$2,Mail!$A103)-LEN(AH$2)-1))))</f>
        <v/>
      </c>
      <c r="AI105" t="str">
        <f>TRIM(IF(ISERROR(FIND(AI$2,Mail!$A103)),"",MID(Mail!$A103,FIND(AI$2,Mail!$A103)+LEN(AI$2)+1,IF(ISERROR(FIND("■",Mail!$A103,FIND(AI$2,Mail!$A103)+LEN(AI$2))-FIND(AI$2,Mail!$A103)-LEN(AI$2)),LEN(Mail!$A103)-60-FIND(AI$2,Mail!$A103)-LEN(AI$2),FIND("■",Mail!$A103,FIND(AI$2,Mail!$A103)+LEN(AI$2))-FIND(AI$2,Mail!$A103)-LEN(AI$2)-1))))</f>
        <v/>
      </c>
    </row>
    <row r="106" spans="1:35" x14ac:dyDescent="0.15">
      <c r="A106" s="9" t="str">
        <f t="shared" si="6"/>
        <v/>
      </c>
      <c r="B106" s="8" t="str">
        <f>CLEAN(SUBSTITUTE(IF(ISERROR(FIND("yokohama",Mail!$A104)),"",MID(Mail!$A104,FIND("yokohama",Mail!$A104)+LEN("yokohama")+1,FIND("件目",Mail!$A104,FIND("yokohama",Mail!$A104))-(FIND("yokohama",Mail!$A104)+LEN("yokohama")+1)))," ",""))</f>
        <v/>
      </c>
      <c r="C106" s="2" t="str">
        <f t="shared" si="9"/>
        <v/>
      </c>
      <c r="D106" s="9" t="str">
        <f t="shared" si="7"/>
        <v/>
      </c>
      <c r="E106" s="8" t="str">
        <f t="shared" si="8"/>
        <v/>
      </c>
      <c r="F106" t="str">
        <f>TRIM(CLEAN(IF(ISERROR(FIND(F$2,Mail!$A104)),"",MID(Mail!$A104,FIND(F$2,Mail!$A104)+LEN(F$2)+1,IF(ISERROR(FIND("■",Mail!$A104,FIND(F$2,Mail!$A104)+LEN(F$2))-FIND(F$2,Mail!$A104)-LEN(F$2)),LEN(Mail!$A104)-60-FIND(F$2,Mail!$A104)-LEN(F$2),FIND("■",Mail!$A104,FIND(F$2,Mail!$A104)+LEN(F$2))-FIND(F$2,Mail!$A104)-LEN(F$2)-1)))))</f>
        <v/>
      </c>
      <c r="G106" t="str">
        <f>TRIM(CLEAN(IF(ISERROR(FIND(G$2,Mail!$A104)),"",MID(Mail!$A104,FIND(G$2,Mail!$A104)+LEN(G$2)+1,IF(ISERROR(FIND("■",Mail!$A104,FIND(G$2,Mail!$A104)+LEN(G$2))-FIND(G$2,Mail!$A104)-LEN(G$2)),LEN(Mail!$A104)-60-FIND(G$2,Mail!$A104)-LEN(G$2),FIND("■",Mail!$A104,FIND(G$2,Mail!$A104)+LEN(G$2))-FIND(G$2,Mail!$A104)-LEN(G$2)-1)))))</f>
        <v/>
      </c>
      <c r="H106" s="8" t="str">
        <f>TRIM(CLEAN(IF(ISERROR(FIND(H$2,Mail!$A104)),"",MID(Mail!$A104,FIND(H$2,Mail!$A104)+LEN(H$2)+1,IF(ISERROR(FIND("■",Mail!$A104,FIND(H$2,Mail!$A104)+LEN(H$2))-FIND(H$2,Mail!$A104)-LEN(H$2)),LEN(Mail!$A104)-60-FIND(H$2,Mail!$A104)-LEN(H$2),FIND("■",Mail!$A104,FIND(H$2,Mail!$A104)+LEN(H$2))-FIND(H$2,Mail!$A104)-LEN(H$2)-1)))))</f>
        <v/>
      </c>
      <c r="I106" t="str">
        <f>TRIM(CLEAN(IF(ISERROR(FIND(I$2,Mail!$A104)),"",MID(Mail!$A104,FIND(I$2,Mail!$A104)+LEN(I$2)+1,IF(ISERROR(FIND("■",Mail!$A104,FIND(I$2,Mail!$A104)+LEN(I$2))-FIND(I$2,Mail!$A104)-LEN(I$2)),LEN(Mail!$A104)-60-FIND(I$2,Mail!$A104)-LEN(I$2),FIND("■",Mail!$A104,FIND(I$2,Mail!$A104)+LEN(I$2))-FIND(I$2,Mail!$A104)-LEN(I$2)-1)))))</f>
        <v/>
      </c>
      <c r="J106" t="str">
        <f>TRIM(IF(ISERROR(FIND(J$2,Mail!$A104)),"",MID(Mail!$A104,FIND(J$2,Mail!$A104)+LEN(J$2)+1,IF(ISERROR(FIND("■",Mail!$A104,FIND(J$2,Mail!$A104)+LEN(J$2))-FIND(J$2,Mail!$A104)-LEN(J$2)),LEN(Mail!$A104)-60-FIND(J$2,Mail!$A104)-LEN(J$2),FIND("■",Mail!$A104,FIND(J$2,Mail!$A104)+LEN(J$2))-FIND(J$2,Mail!$A104)-LEN(J$2)-1))))</f>
        <v/>
      </c>
      <c r="K106" t="str">
        <f>TRIM(IF(ISERROR(FIND(K$2,Mail!$A104)),"",MID(Mail!$A104,FIND(K$2,Mail!$A104)+LEN(K$2)+1,IF(ISERROR(FIND("■",Mail!$A104,FIND(K$2,Mail!$A104)+LEN(K$2))-FIND(K$2,Mail!$A104)-LEN(K$2)),LEN(Mail!$A104)-60-FIND(K$2,Mail!$A104)-LEN(K$2),FIND("■",Mail!$A104,FIND(K$2,Mail!$A104)+LEN(K$2))-FIND(K$2,Mail!$A104)-LEN(K$2)-1))))</f>
        <v/>
      </c>
      <c r="L106" t="str">
        <f>TRIM(IF(ISERROR(FIND(L$2,Mail!$A104)),"",MID(Mail!$A104,FIND(L$2,Mail!$A104)+LEN(L$2)+1,IF(ISERROR(FIND("■",Mail!$A104,FIND(L$2,Mail!$A104)+LEN(L$2))-FIND(L$2,Mail!$A104)-LEN(L$2)),LEN(Mail!$A104)-60-FIND(L$2,Mail!$A104)-LEN(L$2),FIND("■",Mail!$A104,FIND(L$2,Mail!$A104)+LEN(L$2))-FIND(L$2,Mail!$A104)-LEN(L$2)-1))))</f>
        <v/>
      </c>
      <c r="M106" t="str">
        <f>TRIM(CLEAN(IF(ISERROR(FIND(M$2,Mail!$A104)),"",MID(Mail!$A104,FIND(M$2,Mail!$A104)+LEN(M$2)+1,IF(ISERROR(FIND("■",Mail!$A104,FIND(M$2,Mail!$A104)+LEN(M$2))-FIND(M$2,Mail!$A104)-LEN(M$2)),LEN(Mail!$A104)-60-FIND(M$2,Mail!$A104)-LEN(M$2),FIND("■",Mail!$A104,FIND(M$2,Mail!$A104)+LEN(M$2))-FIND(M$2,Mail!$A104)-LEN(M$2)-1)))))</f>
        <v/>
      </c>
      <c r="N106" t="str">
        <f>TRIM(CLEAN(IF(ISERROR(FIND(N$2,Mail!$A104)),"",MID(Mail!$A104,FIND(N$2,Mail!$A104)+LEN(N$2)+1,IF(ISERROR(FIND("■",Mail!$A104,FIND(N$2,Mail!$A104)+LEN(N$2))-FIND(N$2,Mail!$A104)-LEN(N$2)),LEN(Mail!$A104)-60-FIND(N$2,Mail!$A104)-LEN(N$2),FIND("■",Mail!$A104,FIND(N$2,Mail!$A104)+LEN(N$2))-FIND(N$2,Mail!$A104)-LEN(N$2)-1)))))</f>
        <v/>
      </c>
      <c r="O106" t="str">
        <f>TRIM(CLEAN(IF(ISERROR(FIND(O$2,Mail!$A104)),"",MID(Mail!$A104,FIND(O$2,Mail!$A104)+LEN(O$2)+1,IF(ISERROR(FIND("■",Mail!$A104,FIND(O$2,Mail!$A104)+LEN(O$2))-FIND(O$2,Mail!$A104)-LEN(O$2)),LEN(Mail!$A104)-60-FIND(O$2,Mail!$A104)-LEN(O$2),FIND("■",Mail!$A104,FIND(O$2,Mail!$A104)+LEN(O$2))-FIND(O$2,Mail!$A104)-LEN(O$2)-1)))))</f>
        <v/>
      </c>
      <c r="P106" t="str">
        <f>TRIM(CLEAN(IF(ISERROR(FIND(P$2,Mail!$A104)),"",MID(Mail!$A104,FIND(P$2,Mail!$A104)+LEN(P$2)+1,IF(ISERROR(FIND("■",Mail!$A104,FIND(P$2,Mail!$A104)+LEN(P$2))-FIND(P$2,Mail!$A104)-LEN(P$2)),LEN(Mail!$A104)-60-FIND(P$2,Mail!$A104)-LEN(P$2),FIND("■",Mail!$A104,FIND(P$2,Mail!$A104)+LEN(P$2))-FIND(P$2,Mail!$A104)-LEN(P$2)-1)))))</f>
        <v/>
      </c>
      <c r="Q106" t="str">
        <f>TRIM(CLEAN(IF(ISERROR(FIND(Q$2,Mail!$A104)),"",MID(Mail!$A104,FIND(Q$2,Mail!$A104)+LEN(Q$2)+1,IF(ISERROR(FIND("■",Mail!$A104,FIND(Q$2,Mail!$A104)+LEN(Q$2))-FIND(Q$2,Mail!$A104)-LEN(Q$2)),LEN(Mail!$A104)-60-FIND(Q$2,Mail!$A104)-LEN(Q$2),FIND("■",Mail!$A104,FIND(Q$2,Mail!$A104)+LEN(Q$2))-FIND(Q$2,Mail!$A104)-LEN(Q$2)-1)))))</f>
        <v/>
      </c>
      <c r="R106" s="8" t="str">
        <f>TRIM(CLEAN(IF(ISERROR(FIND(R$2,Mail!$A104)),"",MID(Mail!$A104,FIND(R$2,Mail!$A104)+LEN(R$2)+1,IF(ISERROR(FIND("■",Mail!$A104,FIND(R$2,Mail!$A104)+LEN(R$2))-FIND(R$2,Mail!$A104)-LEN(R$2)),LEN(Mail!$A104)-60-FIND(R$2,Mail!$A104)-LEN(R$2),FIND("■",Mail!$A104,FIND(R$2,Mail!$A104)+LEN(R$2))-FIND(R$2,Mail!$A104)-LEN(R$2)-1)))))</f>
        <v/>
      </c>
      <c r="S106" t="str">
        <f>TRIM(CLEAN(IF(ISERROR(FIND(S$2,Mail!$A104)),"",MID(Mail!$A104,FIND(S$2,Mail!$A104)+LEN(S$2)+1,IF(ISERROR(FIND("■",Mail!$A104,FIND(S$2,Mail!$A104)+LEN(S$2))-FIND(S$2,Mail!$A104)-LEN(S$2)),LEN(Mail!$A104)-60-FIND(S$2,Mail!$A104)-LEN(S$2),FIND("■",Mail!$A104,FIND(S$2,Mail!$A104)+LEN(S$2))-FIND(S$2,Mail!$A104)-LEN(S$2)-1)))))</f>
        <v/>
      </c>
      <c r="T106" t="str">
        <f>TRIM(CLEAN(IF(ISERROR(FIND(T$2,Mail!$A104)),"",MID(Mail!$A104,FIND(T$2,Mail!$A104)+LEN(T$2)+1,IF(ISERROR(FIND("■",Mail!$A104,FIND(T$2,Mail!$A104)+LEN(T$2))-FIND(T$2,Mail!$A104)-LEN(T$2)),LEN(Mail!$A104)-60-FIND(T$2,Mail!$A104)-LEN(T$2),FIND("■",Mail!$A104,FIND(T$2,Mail!$A104)+LEN(T$2))-FIND(T$2,Mail!$A104)-LEN(T$2)-1)))))</f>
        <v/>
      </c>
      <c r="U106" t="str">
        <f>TRIM(CLEAN(IF(ISERROR(FIND(U$2,Mail!$A104)),"",MID(Mail!$A104,FIND(U$2,Mail!$A104)+LEN(U$2)+1,IF(ISERROR(FIND("■",Mail!$A104,FIND(U$2,Mail!$A104)+LEN(U$2))-FIND(U$2,Mail!$A104)-LEN(U$2)),LEN(Mail!$A104)-60-FIND(U$2,Mail!$A104)-LEN(U$2),FIND("■",Mail!$A104,FIND(U$2,Mail!$A104)+LEN(U$2))-FIND(U$2,Mail!$A104)-LEN(U$2)-1)))))</f>
        <v/>
      </c>
      <c r="V106" t="str">
        <f>TRIM(CLEAN(IF(ISERROR(FIND(V$2,Mail!$A104)),"",MID(Mail!$A104,FIND(V$2,Mail!$A104)+LEN(V$2)+1,IF(ISERROR(FIND("■",Mail!$A104,FIND(V$2,Mail!$A104)+LEN(V$2))-FIND(V$2,Mail!$A104)-LEN(V$2)),LEN(Mail!$A104)-60-FIND(V$2,Mail!$A104)-LEN(V$2),FIND("■",Mail!$A104,FIND(V$2,Mail!$A104)+LEN(V$2))-FIND(V$2,Mail!$A104)-LEN(V$2)-1)))))</f>
        <v/>
      </c>
      <c r="W106" t="str">
        <f>TRIM(CLEAN(IF(ISERROR(FIND(W$2,Mail!$A104)),"",MID(Mail!$A104,FIND(W$2,Mail!$A104)+LEN(W$2)+1,IF(ISERROR(FIND("■",Mail!$A104,FIND(W$2,Mail!$A104)+LEN(W$2))-FIND(W$2,Mail!$A104)-LEN(W$2)),LEN(Mail!$A104)-60-FIND(W$2,Mail!$A104)-LEN(W$2),FIND("■",Mail!$A104,FIND(W$2,Mail!$A104)+LEN(W$2))-FIND(W$2,Mail!$A104)-LEN(W$2)-1)))))</f>
        <v/>
      </c>
      <c r="X106" t="str">
        <f>TRIM(IF(ISERROR(FIND(X$2,Mail!$A104)),"",MID(Mail!$A104,FIND(X$2,Mail!$A104)+LEN(X$2)+1,IF(ISERROR(FIND("■",Mail!$A104,FIND(X$2,Mail!$A104)+LEN(X$2))-FIND(X$2,Mail!$A104)-LEN(X$2)),LEN(Mail!$A104)-60-FIND(X$2,Mail!$A104)-LEN(X$2),FIND("■",Mail!$A104,FIND(X$2,Mail!$A104)+LEN(X$2))-FIND(X$2,Mail!$A104)-LEN(X$2)-1))))</f>
        <v/>
      </c>
      <c r="Y106" t="str">
        <f>TRIM(CLEAN(IF(ISERROR(FIND(Y$2,Mail!$A104)),"",MID(Mail!$A104,FIND(Y$2,Mail!$A104)+LEN(Y$2)+1,IF(ISERROR(FIND("■",Mail!$A104,FIND(Y$2,Mail!$A104)+LEN(Y$2))-FIND(Y$2,Mail!$A104)-LEN(Y$2)),LEN(Mail!$A104)-60-FIND(Y$2,Mail!$A104)-LEN(Y$2),FIND("■",Mail!$A104,FIND(Y$2,Mail!$A104)+LEN(Y$2))-FIND(Y$2,Mail!$A104)-LEN(Y$2)-1)))))</f>
        <v/>
      </c>
      <c r="Z106" t="str">
        <f>TRIM(CLEAN(IF(ISERROR(FIND(Z$2,Mail!$A104)),"",MID(Mail!$A104,FIND(Z$2,Mail!$A104)+LEN(Z$2)+1,IF(ISERROR(FIND("■",Mail!$A104,FIND(Z$2,Mail!$A104)+LEN(Z$2))-FIND(Z$2,Mail!$A104)-LEN(Z$2)),LEN(Mail!$A104)-60-FIND(Z$2,Mail!$A104)-LEN(Z$2),FIND("■",Mail!$A104,FIND(Z$2,Mail!$A104)+LEN(Z$2))-FIND(Z$2,Mail!$A104)-LEN(Z$2)-1)))))</f>
        <v/>
      </c>
      <c r="AA106" t="str">
        <f>TRIM(CLEAN(IF(ISERROR(FIND(AA$2,Mail!$A104)),"",MID(Mail!$A104,FIND(AA$2,Mail!$A104)+LEN(AA$2)+1,IF(ISERROR(FIND("■",Mail!$A104,FIND(AA$2,Mail!$A104)+LEN(AA$2))-FIND(AA$2,Mail!$A104)-LEN(AA$2)),LEN(Mail!$A104)-60-FIND(AA$2,Mail!$A104)-LEN(AA$2),FIND("■",Mail!$A104,FIND(AA$2,Mail!$A104)+LEN(AA$2))-FIND(AA$2,Mail!$A104)-LEN(AA$2)-1)))))</f>
        <v/>
      </c>
      <c r="AB106" t="str">
        <f>TRIM(CLEAN(IF(ISERROR(FIND(AB$2,Mail!$A104)),"",MID(Mail!$A104,FIND(AB$2,Mail!$A104)+LEN(AB$2)+1,IF(ISERROR(FIND("■",Mail!$A104,FIND(AB$2,Mail!$A104)+LEN(AB$2))-FIND(AB$2,Mail!$A104)-LEN(AB$2)),LEN(Mail!$A104)-60-FIND(AB$2,Mail!$A104)-LEN(AB$2),FIND("■",Mail!$A104,FIND(AB$2,Mail!$A104)+LEN(AB$2))-FIND(AB$2,Mail!$A104)-LEN(AB$2)-1)))))</f>
        <v/>
      </c>
      <c r="AC106" s="8" t="str">
        <f>TRIM(CLEAN(IF(ISERROR(FIND(AC$2,Mail!$A104)),"",MID(Mail!$A104,FIND(AC$2,Mail!$A104)+LEN(AC$2)+1,IF(ISERROR(FIND("■",Mail!$A104,FIND(AC$2,Mail!$A104)+LEN(AC$2))-FIND(AC$2,Mail!$A104)-LEN(AC$2)),LEN(Mail!$A104)-60-FIND(AC$2,Mail!$A104)-LEN(AC$2),FIND("■",Mail!$A104,FIND(AC$2,Mail!$A104)+LEN(AC$2))-FIND(AC$2,Mail!$A104)-LEN(AC$2)-1)))))</f>
        <v/>
      </c>
      <c r="AD106" t="str">
        <f>TRIM(CLEAN(IF(ISERROR(FIND(AD$2,Mail!$A104)),"",MID(Mail!$A104,FIND(AD$2,Mail!$A104)+LEN(AD$2)+1,IF(ISERROR(FIND("■",Mail!$A104,FIND(AD$2,Mail!$A104)+LEN(AD$2))-FIND(AD$2,Mail!$A104)-LEN(AD$2)),LEN(Mail!$A104)-60-FIND(AD$2,Mail!$A104)-LEN(AD$2),FIND("■",Mail!$A104,FIND(AD$2,Mail!$A104)+LEN(AD$2))-FIND(AD$2,Mail!$A104)-LEN(AD$2)-1)))))</f>
        <v/>
      </c>
      <c r="AE106" t="str">
        <f>TRIM(CLEAN(IF(ISERROR(FIND(AE$2,Mail!$A104)),"",MID(Mail!$A104,FIND(AE$2,Mail!$A104)+LEN(AE$2)+1,IF(ISERROR(FIND("■",Mail!$A104,FIND(AE$2,Mail!$A104)+LEN(AE$2))-FIND(AE$2,Mail!$A104)-LEN(AE$2)),LEN(Mail!$A104)-60-FIND(AE$2,Mail!$A104)-LEN(AE$2),FIND("■",Mail!$A104,FIND(AE$2,Mail!$A104)+LEN(AE$2))-FIND(AE$2,Mail!$A104)-LEN(AE$2)-1)))))</f>
        <v/>
      </c>
      <c r="AF106" t="str">
        <f>TRIM(CLEAN(IF(ISERROR(FIND(AF$2,Mail!$A104)),"",MID(Mail!$A104,FIND(AF$2,Mail!$A104)+LEN(AF$2)+1,IF(ISERROR(FIND("■",Mail!$A104,FIND(AF$2,Mail!$A104)+LEN(AF$2))-FIND(AF$2,Mail!$A104)-LEN(AF$2)),LEN(Mail!$A104)-60-FIND(AF$2,Mail!$A104)-LEN(AF$2),FIND("■",Mail!$A104,FIND(AF$2,Mail!$A104)+LEN(AF$2))-FIND(AF$2,Mail!$A104)-LEN(AF$2)-1)))))</f>
        <v/>
      </c>
      <c r="AG106" t="str">
        <f>TRIM(IF(ISERROR(FIND(AG$2,Mail!$A104)),"",MID(Mail!$A104,FIND(AG$2,Mail!$A104)+LEN(AG$2)+1,IF(ISERROR(FIND("■",Mail!$A104,FIND(AG$2,Mail!$A104)+LEN(AG$2))-FIND(AG$2,Mail!$A104)-LEN(AG$2)),LEN(Mail!$A104)-60-FIND(AG$2,Mail!$A104)-LEN(AG$2),FIND("■",Mail!$A104,FIND(AG$2,Mail!$A104)+LEN(AG$2))-FIND(AG$2,Mail!$A104)-LEN(AG$2)-1))))</f>
        <v/>
      </c>
      <c r="AH106" t="str">
        <f>TRIM(IF(ISERROR(FIND(AH$2,Mail!$A104)),"",MID(Mail!$A104,FIND(AH$2,Mail!$A104)+LEN(AH$2)+1,IF(ISERROR(FIND("■",Mail!$A104,FIND(AH$2,Mail!$A104)+LEN(AH$2))-FIND(AH$2,Mail!$A104)-LEN(AH$2)),LEN(Mail!$A104)-60-FIND(AH$2,Mail!$A104)-LEN(AH$2),FIND("■",Mail!$A104,FIND(AH$2,Mail!$A104)+LEN(AH$2))-FIND(AH$2,Mail!$A104)-LEN(AH$2)-1))))</f>
        <v/>
      </c>
      <c r="AI106" t="str">
        <f>TRIM(IF(ISERROR(FIND(AI$2,Mail!$A104)),"",MID(Mail!$A104,FIND(AI$2,Mail!$A104)+LEN(AI$2)+1,IF(ISERROR(FIND("■",Mail!$A104,FIND(AI$2,Mail!$A104)+LEN(AI$2))-FIND(AI$2,Mail!$A104)-LEN(AI$2)),LEN(Mail!$A104)-60-FIND(AI$2,Mail!$A104)-LEN(AI$2),FIND("■",Mail!$A104,FIND(AI$2,Mail!$A104)+LEN(AI$2))-FIND(AI$2,Mail!$A104)-LEN(AI$2)-1))))</f>
        <v/>
      </c>
    </row>
    <row r="107" spans="1:35" x14ac:dyDescent="0.15">
      <c r="A107" s="9" t="str">
        <f t="shared" si="6"/>
        <v/>
      </c>
      <c r="B107" s="8" t="str">
        <f>CLEAN(SUBSTITUTE(IF(ISERROR(FIND("yokohama",Mail!$A105)),"",MID(Mail!$A105,FIND("yokohama",Mail!$A105)+LEN("yokohama")+1,FIND("件目",Mail!$A105,FIND("yokohama",Mail!$A105))-(FIND("yokohama",Mail!$A105)+LEN("yokohama")+1)))," ",""))</f>
        <v/>
      </c>
      <c r="C107" s="2" t="str">
        <f t="shared" si="9"/>
        <v/>
      </c>
      <c r="D107" s="9" t="str">
        <f t="shared" si="7"/>
        <v/>
      </c>
      <c r="E107" s="8" t="str">
        <f t="shared" si="8"/>
        <v/>
      </c>
      <c r="F107" t="str">
        <f>TRIM(CLEAN(IF(ISERROR(FIND(F$2,Mail!$A105)),"",MID(Mail!$A105,FIND(F$2,Mail!$A105)+LEN(F$2)+1,IF(ISERROR(FIND("■",Mail!$A105,FIND(F$2,Mail!$A105)+LEN(F$2))-FIND(F$2,Mail!$A105)-LEN(F$2)),LEN(Mail!$A105)-60-FIND(F$2,Mail!$A105)-LEN(F$2),FIND("■",Mail!$A105,FIND(F$2,Mail!$A105)+LEN(F$2))-FIND(F$2,Mail!$A105)-LEN(F$2)-1)))))</f>
        <v/>
      </c>
      <c r="G107" t="str">
        <f>TRIM(CLEAN(IF(ISERROR(FIND(G$2,Mail!$A105)),"",MID(Mail!$A105,FIND(G$2,Mail!$A105)+LEN(G$2)+1,IF(ISERROR(FIND("■",Mail!$A105,FIND(G$2,Mail!$A105)+LEN(G$2))-FIND(G$2,Mail!$A105)-LEN(G$2)),LEN(Mail!$A105)-60-FIND(G$2,Mail!$A105)-LEN(G$2),FIND("■",Mail!$A105,FIND(G$2,Mail!$A105)+LEN(G$2))-FIND(G$2,Mail!$A105)-LEN(G$2)-1)))))</f>
        <v/>
      </c>
      <c r="H107" s="8" t="str">
        <f>TRIM(CLEAN(IF(ISERROR(FIND(H$2,Mail!$A105)),"",MID(Mail!$A105,FIND(H$2,Mail!$A105)+LEN(H$2)+1,IF(ISERROR(FIND("■",Mail!$A105,FIND(H$2,Mail!$A105)+LEN(H$2))-FIND(H$2,Mail!$A105)-LEN(H$2)),LEN(Mail!$A105)-60-FIND(H$2,Mail!$A105)-LEN(H$2),FIND("■",Mail!$A105,FIND(H$2,Mail!$A105)+LEN(H$2))-FIND(H$2,Mail!$A105)-LEN(H$2)-1)))))</f>
        <v/>
      </c>
      <c r="I107" t="str">
        <f>TRIM(CLEAN(IF(ISERROR(FIND(I$2,Mail!$A105)),"",MID(Mail!$A105,FIND(I$2,Mail!$A105)+LEN(I$2)+1,IF(ISERROR(FIND("■",Mail!$A105,FIND(I$2,Mail!$A105)+LEN(I$2))-FIND(I$2,Mail!$A105)-LEN(I$2)),LEN(Mail!$A105)-60-FIND(I$2,Mail!$A105)-LEN(I$2),FIND("■",Mail!$A105,FIND(I$2,Mail!$A105)+LEN(I$2))-FIND(I$2,Mail!$A105)-LEN(I$2)-1)))))</f>
        <v/>
      </c>
      <c r="J107" t="str">
        <f>TRIM(IF(ISERROR(FIND(J$2,Mail!$A105)),"",MID(Mail!$A105,FIND(J$2,Mail!$A105)+LEN(J$2)+1,IF(ISERROR(FIND("■",Mail!$A105,FIND(J$2,Mail!$A105)+LEN(J$2))-FIND(J$2,Mail!$A105)-LEN(J$2)),LEN(Mail!$A105)-60-FIND(J$2,Mail!$A105)-LEN(J$2),FIND("■",Mail!$A105,FIND(J$2,Mail!$A105)+LEN(J$2))-FIND(J$2,Mail!$A105)-LEN(J$2)-1))))</f>
        <v/>
      </c>
      <c r="K107" t="str">
        <f>TRIM(IF(ISERROR(FIND(K$2,Mail!$A105)),"",MID(Mail!$A105,FIND(K$2,Mail!$A105)+LEN(K$2)+1,IF(ISERROR(FIND("■",Mail!$A105,FIND(K$2,Mail!$A105)+LEN(K$2))-FIND(K$2,Mail!$A105)-LEN(K$2)),LEN(Mail!$A105)-60-FIND(K$2,Mail!$A105)-LEN(K$2),FIND("■",Mail!$A105,FIND(K$2,Mail!$A105)+LEN(K$2))-FIND(K$2,Mail!$A105)-LEN(K$2)-1))))</f>
        <v/>
      </c>
      <c r="L107" t="str">
        <f>TRIM(IF(ISERROR(FIND(L$2,Mail!$A105)),"",MID(Mail!$A105,FIND(L$2,Mail!$A105)+LEN(L$2)+1,IF(ISERROR(FIND("■",Mail!$A105,FIND(L$2,Mail!$A105)+LEN(L$2))-FIND(L$2,Mail!$A105)-LEN(L$2)),LEN(Mail!$A105)-60-FIND(L$2,Mail!$A105)-LEN(L$2),FIND("■",Mail!$A105,FIND(L$2,Mail!$A105)+LEN(L$2))-FIND(L$2,Mail!$A105)-LEN(L$2)-1))))</f>
        <v/>
      </c>
      <c r="M107" t="str">
        <f>TRIM(CLEAN(IF(ISERROR(FIND(M$2,Mail!$A105)),"",MID(Mail!$A105,FIND(M$2,Mail!$A105)+LEN(M$2)+1,IF(ISERROR(FIND("■",Mail!$A105,FIND(M$2,Mail!$A105)+LEN(M$2))-FIND(M$2,Mail!$A105)-LEN(M$2)),LEN(Mail!$A105)-60-FIND(M$2,Mail!$A105)-LEN(M$2),FIND("■",Mail!$A105,FIND(M$2,Mail!$A105)+LEN(M$2))-FIND(M$2,Mail!$A105)-LEN(M$2)-1)))))</f>
        <v/>
      </c>
      <c r="N107" t="str">
        <f>TRIM(CLEAN(IF(ISERROR(FIND(N$2,Mail!$A105)),"",MID(Mail!$A105,FIND(N$2,Mail!$A105)+LEN(N$2)+1,IF(ISERROR(FIND("■",Mail!$A105,FIND(N$2,Mail!$A105)+LEN(N$2))-FIND(N$2,Mail!$A105)-LEN(N$2)),LEN(Mail!$A105)-60-FIND(N$2,Mail!$A105)-LEN(N$2),FIND("■",Mail!$A105,FIND(N$2,Mail!$A105)+LEN(N$2))-FIND(N$2,Mail!$A105)-LEN(N$2)-1)))))</f>
        <v/>
      </c>
      <c r="O107" t="str">
        <f>TRIM(CLEAN(IF(ISERROR(FIND(O$2,Mail!$A105)),"",MID(Mail!$A105,FIND(O$2,Mail!$A105)+LEN(O$2)+1,IF(ISERROR(FIND("■",Mail!$A105,FIND(O$2,Mail!$A105)+LEN(O$2))-FIND(O$2,Mail!$A105)-LEN(O$2)),LEN(Mail!$A105)-60-FIND(O$2,Mail!$A105)-LEN(O$2),FIND("■",Mail!$A105,FIND(O$2,Mail!$A105)+LEN(O$2))-FIND(O$2,Mail!$A105)-LEN(O$2)-1)))))</f>
        <v/>
      </c>
      <c r="P107" t="str">
        <f>TRIM(CLEAN(IF(ISERROR(FIND(P$2,Mail!$A105)),"",MID(Mail!$A105,FIND(P$2,Mail!$A105)+LEN(P$2)+1,IF(ISERROR(FIND("■",Mail!$A105,FIND(P$2,Mail!$A105)+LEN(P$2))-FIND(P$2,Mail!$A105)-LEN(P$2)),LEN(Mail!$A105)-60-FIND(P$2,Mail!$A105)-LEN(P$2),FIND("■",Mail!$A105,FIND(P$2,Mail!$A105)+LEN(P$2))-FIND(P$2,Mail!$A105)-LEN(P$2)-1)))))</f>
        <v/>
      </c>
      <c r="Q107" t="str">
        <f>TRIM(CLEAN(IF(ISERROR(FIND(Q$2,Mail!$A105)),"",MID(Mail!$A105,FIND(Q$2,Mail!$A105)+LEN(Q$2)+1,IF(ISERROR(FIND("■",Mail!$A105,FIND(Q$2,Mail!$A105)+LEN(Q$2))-FIND(Q$2,Mail!$A105)-LEN(Q$2)),LEN(Mail!$A105)-60-FIND(Q$2,Mail!$A105)-LEN(Q$2),FIND("■",Mail!$A105,FIND(Q$2,Mail!$A105)+LEN(Q$2))-FIND(Q$2,Mail!$A105)-LEN(Q$2)-1)))))</f>
        <v/>
      </c>
      <c r="R107" s="8" t="str">
        <f>TRIM(CLEAN(IF(ISERROR(FIND(R$2,Mail!$A105)),"",MID(Mail!$A105,FIND(R$2,Mail!$A105)+LEN(R$2)+1,IF(ISERROR(FIND("■",Mail!$A105,FIND(R$2,Mail!$A105)+LEN(R$2))-FIND(R$2,Mail!$A105)-LEN(R$2)),LEN(Mail!$A105)-60-FIND(R$2,Mail!$A105)-LEN(R$2),FIND("■",Mail!$A105,FIND(R$2,Mail!$A105)+LEN(R$2))-FIND(R$2,Mail!$A105)-LEN(R$2)-1)))))</f>
        <v/>
      </c>
      <c r="S107" t="str">
        <f>TRIM(CLEAN(IF(ISERROR(FIND(S$2,Mail!$A105)),"",MID(Mail!$A105,FIND(S$2,Mail!$A105)+LEN(S$2)+1,IF(ISERROR(FIND("■",Mail!$A105,FIND(S$2,Mail!$A105)+LEN(S$2))-FIND(S$2,Mail!$A105)-LEN(S$2)),LEN(Mail!$A105)-60-FIND(S$2,Mail!$A105)-LEN(S$2),FIND("■",Mail!$A105,FIND(S$2,Mail!$A105)+LEN(S$2))-FIND(S$2,Mail!$A105)-LEN(S$2)-1)))))</f>
        <v/>
      </c>
      <c r="T107" t="str">
        <f>TRIM(CLEAN(IF(ISERROR(FIND(T$2,Mail!$A105)),"",MID(Mail!$A105,FIND(T$2,Mail!$A105)+LEN(T$2)+1,IF(ISERROR(FIND("■",Mail!$A105,FIND(T$2,Mail!$A105)+LEN(T$2))-FIND(T$2,Mail!$A105)-LEN(T$2)),LEN(Mail!$A105)-60-FIND(T$2,Mail!$A105)-LEN(T$2),FIND("■",Mail!$A105,FIND(T$2,Mail!$A105)+LEN(T$2))-FIND(T$2,Mail!$A105)-LEN(T$2)-1)))))</f>
        <v/>
      </c>
      <c r="U107" t="str">
        <f>TRIM(CLEAN(IF(ISERROR(FIND(U$2,Mail!$A105)),"",MID(Mail!$A105,FIND(U$2,Mail!$A105)+LEN(U$2)+1,IF(ISERROR(FIND("■",Mail!$A105,FIND(U$2,Mail!$A105)+LEN(U$2))-FIND(U$2,Mail!$A105)-LEN(U$2)),LEN(Mail!$A105)-60-FIND(U$2,Mail!$A105)-LEN(U$2),FIND("■",Mail!$A105,FIND(U$2,Mail!$A105)+LEN(U$2))-FIND(U$2,Mail!$A105)-LEN(U$2)-1)))))</f>
        <v/>
      </c>
      <c r="V107" t="str">
        <f>TRIM(CLEAN(IF(ISERROR(FIND(V$2,Mail!$A105)),"",MID(Mail!$A105,FIND(V$2,Mail!$A105)+LEN(V$2)+1,IF(ISERROR(FIND("■",Mail!$A105,FIND(V$2,Mail!$A105)+LEN(V$2))-FIND(V$2,Mail!$A105)-LEN(V$2)),LEN(Mail!$A105)-60-FIND(V$2,Mail!$A105)-LEN(V$2),FIND("■",Mail!$A105,FIND(V$2,Mail!$A105)+LEN(V$2))-FIND(V$2,Mail!$A105)-LEN(V$2)-1)))))</f>
        <v/>
      </c>
      <c r="W107" t="str">
        <f>TRIM(CLEAN(IF(ISERROR(FIND(W$2,Mail!$A105)),"",MID(Mail!$A105,FIND(W$2,Mail!$A105)+LEN(W$2)+1,IF(ISERROR(FIND("■",Mail!$A105,FIND(W$2,Mail!$A105)+LEN(W$2))-FIND(W$2,Mail!$A105)-LEN(W$2)),LEN(Mail!$A105)-60-FIND(W$2,Mail!$A105)-LEN(W$2),FIND("■",Mail!$A105,FIND(W$2,Mail!$A105)+LEN(W$2))-FIND(W$2,Mail!$A105)-LEN(W$2)-1)))))</f>
        <v/>
      </c>
      <c r="X107" t="str">
        <f>TRIM(IF(ISERROR(FIND(X$2,Mail!$A105)),"",MID(Mail!$A105,FIND(X$2,Mail!$A105)+LEN(X$2)+1,IF(ISERROR(FIND("■",Mail!$A105,FIND(X$2,Mail!$A105)+LEN(X$2))-FIND(X$2,Mail!$A105)-LEN(X$2)),LEN(Mail!$A105)-60-FIND(X$2,Mail!$A105)-LEN(X$2),FIND("■",Mail!$A105,FIND(X$2,Mail!$A105)+LEN(X$2))-FIND(X$2,Mail!$A105)-LEN(X$2)-1))))</f>
        <v/>
      </c>
      <c r="Y107" t="str">
        <f>TRIM(CLEAN(IF(ISERROR(FIND(Y$2,Mail!$A105)),"",MID(Mail!$A105,FIND(Y$2,Mail!$A105)+LEN(Y$2)+1,IF(ISERROR(FIND("■",Mail!$A105,FIND(Y$2,Mail!$A105)+LEN(Y$2))-FIND(Y$2,Mail!$A105)-LEN(Y$2)),LEN(Mail!$A105)-60-FIND(Y$2,Mail!$A105)-LEN(Y$2),FIND("■",Mail!$A105,FIND(Y$2,Mail!$A105)+LEN(Y$2))-FIND(Y$2,Mail!$A105)-LEN(Y$2)-1)))))</f>
        <v/>
      </c>
      <c r="Z107" t="str">
        <f>TRIM(CLEAN(IF(ISERROR(FIND(Z$2,Mail!$A105)),"",MID(Mail!$A105,FIND(Z$2,Mail!$A105)+LEN(Z$2)+1,IF(ISERROR(FIND("■",Mail!$A105,FIND(Z$2,Mail!$A105)+LEN(Z$2))-FIND(Z$2,Mail!$A105)-LEN(Z$2)),LEN(Mail!$A105)-60-FIND(Z$2,Mail!$A105)-LEN(Z$2),FIND("■",Mail!$A105,FIND(Z$2,Mail!$A105)+LEN(Z$2))-FIND(Z$2,Mail!$A105)-LEN(Z$2)-1)))))</f>
        <v/>
      </c>
      <c r="AA107" t="str">
        <f>TRIM(CLEAN(IF(ISERROR(FIND(AA$2,Mail!$A105)),"",MID(Mail!$A105,FIND(AA$2,Mail!$A105)+LEN(AA$2)+1,IF(ISERROR(FIND("■",Mail!$A105,FIND(AA$2,Mail!$A105)+LEN(AA$2))-FIND(AA$2,Mail!$A105)-LEN(AA$2)),LEN(Mail!$A105)-60-FIND(AA$2,Mail!$A105)-LEN(AA$2),FIND("■",Mail!$A105,FIND(AA$2,Mail!$A105)+LEN(AA$2))-FIND(AA$2,Mail!$A105)-LEN(AA$2)-1)))))</f>
        <v/>
      </c>
      <c r="AB107" t="str">
        <f>TRIM(CLEAN(IF(ISERROR(FIND(AB$2,Mail!$A105)),"",MID(Mail!$A105,FIND(AB$2,Mail!$A105)+LEN(AB$2)+1,IF(ISERROR(FIND("■",Mail!$A105,FIND(AB$2,Mail!$A105)+LEN(AB$2))-FIND(AB$2,Mail!$A105)-LEN(AB$2)),LEN(Mail!$A105)-60-FIND(AB$2,Mail!$A105)-LEN(AB$2),FIND("■",Mail!$A105,FIND(AB$2,Mail!$A105)+LEN(AB$2))-FIND(AB$2,Mail!$A105)-LEN(AB$2)-1)))))</f>
        <v/>
      </c>
      <c r="AC107" s="8" t="str">
        <f>TRIM(CLEAN(IF(ISERROR(FIND(AC$2,Mail!$A105)),"",MID(Mail!$A105,FIND(AC$2,Mail!$A105)+LEN(AC$2)+1,IF(ISERROR(FIND("■",Mail!$A105,FIND(AC$2,Mail!$A105)+LEN(AC$2))-FIND(AC$2,Mail!$A105)-LEN(AC$2)),LEN(Mail!$A105)-60-FIND(AC$2,Mail!$A105)-LEN(AC$2),FIND("■",Mail!$A105,FIND(AC$2,Mail!$A105)+LEN(AC$2))-FIND(AC$2,Mail!$A105)-LEN(AC$2)-1)))))</f>
        <v/>
      </c>
      <c r="AD107" t="str">
        <f>TRIM(CLEAN(IF(ISERROR(FIND(AD$2,Mail!$A105)),"",MID(Mail!$A105,FIND(AD$2,Mail!$A105)+LEN(AD$2)+1,IF(ISERROR(FIND("■",Mail!$A105,FIND(AD$2,Mail!$A105)+LEN(AD$2))-FIND(AD$2,Mail!$A105)-LEN(AD$2)),LEN(Mail!$A105)-60-FIND(AD$2,Mail!$A105)-LEN(AD$2),FIND("■",Mail!$A105,FIND(AD$2,Mail!$A105)+LEN(AD$2))-FIND(AD$2,Mail!$A105)-LEN(AD$2)-1)))))</f>
        <v/>
      </c>
      <c r="AE107" t="str">
        <f>TRIM(CLEAN(IF(ISERROR(FIND(AE$2,Mail!$A105)),"",MID(Mail!$A105,FIND(AE$2,Mail!$A105)+LEN(AE$2)+1,IF(ISERROR(FIND("■",Mail!$A105,FIND(AE$2,Mail!$A105)+LEN(AE$2))-FIND(AE$2,Mail!$A105)-LEN(AE$2)),LEN(Mail!$A105)-60-FIND(AE$2,Mail!$A105)-LEN(AE$2),FIND("■",Mail!$A105,FIND(AE$2,Mail!$A105)+LEN(AE$2))-FIND(AE$2,Mail!$A105)-LEN(AE$2)-1)))))</f>
        <v/>
      </c>
      <c r="AF107" t="str">
        <f>TRIM(CLEAN(IF(ISERROR(FIND(AF$2,Mail!$A105)),"",MID(Mail!$A105,FIND(AF$2,Mail!$A105)+LEN(AF$2)+1,IF(ISERROR(FIND("■",Mail!$A105,FIND(AF$2,Mail!$A105)+LEN(AF$2))-FIND(AF$2,Mail!$A105)-LEN(AF$2)),LEN(Mail!$A105)-60-FIND(AF$2,Mail!$A105)-LEN(AF$2),FIND("■",Mail!$A105,FIND(AF$2,Mail!$A105)+LEN(AF$2))-FIND(AF$2,Mail!$A105)-LEN(AF$2)-1)))))</f>
        <v/>
      </c>
      <c r="AG107" t="str">
        <f>TRIM(IF(ISERROR(FIND(AG$2,Mail!$A105)),"",MID(Mail!$A105,FIND(AG$2,Mail!$A105)+LEN(AG$2)+1,IF(ISERROR(FIND("■",Mail!$A105,FIND(AG$2,Mail!$A105)+LEN(AG$2))-FIND(AG$2,Mail!$A105)-LEN(AG$2)),LEN(Mail!$A105)-60-FIND(AG$2,Mail!$A105)-LEN(AG$2),FIND("■",Mail!$A105,FIND(AG$2,Mail!$A105)+LEN(AG$2))-FIND(AG$2,Mail!$A105)-LEN(AG$2)-1))))</f>
        <v/>
      </c>
      <c r="AH107" t="str">
        <f>TRIM(IF(ISERROR(FIND(AH$2,Mail!$A105)),"",MID(Mail!$A105,FIND(AH$2,Mail!$A105)+LEN(AH$2)+1,IF(ISERROR(FIND("■",Mail!$A105,FIND(AH$2,Mail!$A105)+LEN(AH$2))-FIND(AH$2,Mail!$A105)-LEN(AH$2)),LEN(Mail!$A105)-60-FIND(AH$2,Mail!$A105)-LEN(AH$2),FIND("■",Mail!$A105,FIND(AH$2,Mail!$A105)+LEN(AH$2))-FIND(AH$2,Mail!$A105)-LEN(AH$2)-1))))</f>
        <v/>
      </c>
      <c r="AI107" t="str">
        <f>TRIM(IF(ISERROR(FIND(AI$2,Mail!$A105)),"",MID(Mail!$A105,FIND(AI$2,Mail!$A105)+LEN(AI$2)+1,IF(ISERROR(FIND("■",Mail!$A105,FIND(AI$2,Mail!$A105)+LEN(AI$2))-FIND(AI$2,Mail!$A105)-LEN(AI$2)),LEN(Mail!$A105)-60-FIND(AI$2,Mail!$A105)-LEN(AI$2),FIND("■",Mail!$A105,FIND(AI$2,Mail!$A105)+LEN(AI$2))-FIND(AI$2,Mail!$A105)-LEN(AI$2)-1))))</f>
        <v/>
      </c>
    </row>
    <row r="108" spans="1:35" x14ac:dyDescent="0.15">
      <c r="A108" s="9" t="str">
        <f t="shared" si="6"/>
        <v/>
      </c>
      <c r="B108" s="8" t="str">
        <f>CLEAN(SUBSTITUTE(IF(ISERROR(FIND("yokohama",Mail!$A106)),"",MID(Mail!$A106,FIND("yokohama",Mail!$A106)+LEN("yokohama")+1,FIND("件目",Mail!$A106,FIND("yokohama",Mail!$A106))-(FIND("yokohama",Mail!$A106)+LEN("yokohama")+1)))," ",""))</f>
        <v/>
      </c>
      <c r="C108" s="2" t="str">
        <f t="shared" si="9"/>
        <v/>
      </c>
      <c r="D108" s="9" t="str">
        <f t="shared" si="7"/>
        <v/>
      </c>
      <c r="E108" s="8" t="str">
        <f t="shared" si="8"/>
        <v/>
      </c>
      <c r="F108" t="str">
        <f>TRIM(CLEAN(IF(ISERROR(FIND(F$2,Mail!$A106)),"",MID(Mail!$A106,FIND(F$2,Mail!$A106)+LEN(F$2)+1,IF(ISERROR(FIND("■",Mail!$A106,FIND(F$2,Mail!$A106)+LEN(F$2))-FIND(F$2,Mail!$A106)-LEN(F$2)),LEN(Mail!$A106)-60-FIND(F$2,Mail!$A106)-LEN(F$2),FIND("■",Mail!$A106,FIND(F$2,Mail!$A106)+LEN(F$2))-FIND(F$2,Mail!$A106)-LEN(F$2)-1)))))</f>
        <v/>
      </c>
      <c r="G108" t="str">
        <f>TRIM(CLEAN(IF(ISERROR(FIND(G$2,Mail!$A106)),"",MID(Mail!$A106,FIND(G$2,Mail!$A106)+LEN(G$2)+1,IF(ISERROR(FIND("■",Mail!$A106,FIND(G$2,Mail!$A106)+LEN(G$2))-FIND(G$2,Mail!$A106)-LEN(G$2)),LEN(Mail!$A106)-60-FIND(G$2,Mail!$A106)-LEN(G$2),FIND("■",Mail!$A106,FIND(G$2,Mail!$A106)+LEN(G$2))-FIND(G$2,Mail!$A106)-LEN(G$2)-1)))))</f>
        <v/>
      </c>
      <c r="H108" s="8" t="str">
        <f>TRIM(CLEAN(IF(ISERROR(FIND(H$2,Mail!$A106)),"",MID(Mail!$A106,FIND(H$2,Mail!$A106)+LEN(H$2)+1,IF(ISERROR(FIND("■",Mail!$A106,FIND(H$2,Mail!$A106)+LEN(H$2))-FIND(H$2,Mail!$A106)-LEN(H$2)),LEN(Mail!$A106)-60-FIND(H$2,Mail!$A106)-LEN(H$2),FIND("■",Mail!$A106,FIND(H$2,Mail!$A106)+LEN(H$2))-FIND(H$2,Mail!$A106)-LEN(H$2)-1)))))</f>
        <v/>
      </c>
      <c r="I108" t="str">
        <f>TRIM(CLEAN(IF(ISERROR(FIND(I$2,Mail!$A106)),"",MID(Mail!$A106,FIND(I$2,Mail!$A106)+LEN(I$2)+1,IF(ISERROR(FIND("■",Mail!$A106,FIND(I$2,Mail!$A106)+LEN(I$2))-FIND(I$2,Mail!$A106)-LEN(I$2)),LEN(Mail!$A106)-60-FIND(I$2,Mail!$A106)-LEN(I$2),FIND("■",Mail!$A106,FIND(I$2,Mail!$A106)+LEN(I$2))-FIND(I$2,Mail!$A106)-LEN(I$2)-1)))))</f>
        <v/>
      </c>
      <c r="J108" t="str">
        <f>TRIM(IF(ISERROR(FIND(J$2,Mail!$A106)),"",MID(Mail!$A106,FIND(J$2,Mail!$A106)+LEN(J$2)+1,IF(ISERROR(FIND("■",Mail!$A106,FIND(J$2,Mail!$A106)+LEN(J$2))-FIND(J$2,Mail!$A106)-LEN(J$2)),LEN(Mail!$A106)-60-FIND(J$2,Mail!$A106)-LEN(J$2),FIND("■",Mail!$A106,FIND(J$2,Mail!$A106)+LEN(J$2))-FIND(J$2,Mail!$A106)-LEN(J$2)-1))))</f>
        <v/>
      </c>
      <c r="K108" t="str">
        <f>TRIM(IF(ISERROR(FIND(K$2,Mail!$A106)),"",MID(Mail!$A106,FIND(K$2,Mail!$A106)+LEN(K$2)+1,IF(ISERROR(FIND("■",Mail!$A106,FIND(K$2,Mail!$A106)+LEN(K$2))-FIND(K$2,Mail!$A106)-LEN(K$2)),LEN(Mail!$A106)-60-FIND(K$2,Mail!$A106)-LEN(K$2),FIND("■",Mail!$A106,FIND(K$2,Mail!$A106)+LEN(K$2))-FIND(K$2,Mail!$A106)-LEN(K$2)-1))))</f>
        <v/>
      </c>
      <c r="L108" t="str">
        <f>TRIM(IF(ISERROR(FIND(L$2,Mail!$A106)),"",MID(Mail!$A106,FIND(L$2,Mail!$A106)+LEN(L$2)+1,IF(ISERROR(FIND("■",Mail!$A106,FIND(L$2,Mail!$A106)+LEN(L$2))-FIND(L$2,Mail!$A106)-LEN(L$2)),LEN(Mail!$A106)-60-FIND(L$2,Mail!$A106)-LEN(L$2),FIND("■",Mail!$A106,FIND(L$2,Mail!$A106)+LEN(L$2))-FIND(L$2,Mail!$A106)-LEN(L$2)-1))))</f>
        <v/>
      </c>
      <c r="M108" t="str">
        <f>TRIM(CLEAN(IF(ISERROR(FIND(M$2,Mail!$A106)),"",MID(Mail!$A106,FIND(M$2,Mail!$A106)+LEN(M$2)+1,IF(ISERROR(FIND("■",Mail!$A106,FIND(M$2,Mail!$A106)+LEN(M$2))-FIND(M$2,Mail!$A106)-LEN(M$2)),LEN(Mail!$A106)-60-FIND(M$2,Mail!$A106)-LEN(M$2),FIND("■",Mail!$A106,FIND(M$2,Mail!$A106)+LEN(M$2))-FIND(M$2,Mail!$A106)-LEN(M$2)-1)))))</f>
        <v/>
      </c>
      <c r="N108" t="str">
        <f>TRIM(CLEAN(IF(ISERROR(FIND(N$2,Mail!$A106)),"",MID(Mail!$A106,FIND(N$2,Mail!$A106)+LEN(N$2)+1,IF(ISERROR(FIND("■",Mail!$A106,FIND(N$2,Mail!$A106)+LEN(N$2))-FIND(N$2,Mail!$A106)-LEN(N$2)),LEN(Mail!$A106)-60-FIND(N$2,Mail!$A106)-LEN(N$2),FIND("■",Mail!$A106,FIND(N$2,Mail!$A106)+LEN(N$2))-FIND(N$2,Mail!$A106)-LEN(N$2)-1)))))</f>
        <v/>
      </c>
      <c r="O108" t="str">
        <f>TRIM(CLEAN(IF(ISERROR(FIND(O$2,Mail!$A106)),"",MID(Mail!$A106,FIND(O$2,Mail!$A106)+LEN(O$2)+1,IF(ISERROR(FIND("■",Mail!$A106,FIND(O$2,Mail!$A106)+LEN(O$2))-FIND(O$2,Mail!$A106)-LEN(O$2)),LEN(Mail!$A106)-60-FIND(O$2,Mail!$A106)-LEN(O$2),FIND("■",Mail!$A106,FIND(O$2,Mail!$A106)+LEN(O$2))-FIND(O$2,Mail!$A106)-LEN(O$2)-1)))))</f>
        <v/>
      </c>
      <c r="P108" t="str">
        <f>TRIM(CLEAN(IF(ISERROR(FIND(P$2,Mail!$A106)),"",MID(Mail!$A106,FIND(P$2,Mail!$A106)+LEN(P$2)+1,IF(ISERROR(FIND("■",Mail!$A106,FIND(P$2,Mail!$A106)+LEN(P$2))-FIND(P$2,Mail!$A106)-LEN(P$2)),LEN(Mail!$A106)-60-FIND(P$2,Mail!$A106)-LEN(P$2),FIND("■",Mail!$A106,FIND(P$2,Mail!$A106)+LEN(P$2))-FIND(P$2,Mail!$A106)-LEN(P$2)-1)))))</f>
        <v/>
      </c>
      <c r="Q108" t="str">
        <f>TRIM(CLEAN(IF(ISERROR(FIND(Q$2,Mail!$A106)),"",MID(Mail!$A106,FIND(Q$2,Mail!$A106)+LEN(Q$2)+1,IF(ISERROR(FIND("■",Mail!$A106,FIND(Q$2,Mail!$A106)+LEN(Q$2))-FIND(Q$2,Mail!$A106)-LEN(Q$2)),LEN(Mail!$A106)-60-FIND(Q$2,Mail!$A106)-LEN(Q$2),FIND("■",Mail!$A106,FIND(Q$2,Mail!$A106)+LEN(Q$2))-FIND(Q$2,Mail!$A106)-LEN(Q$2)-1)))))</f>
        <v/>
      </c>
      <c r="R108" s="8" t="str">
        <f>TRIM(CLEAN(IF(ISERROR(FIND(R$2,Mail!$A106)),"",MID(Mail!$A106,FIND(R$2,Mail!$A106)+LEN(R$2)+1,IF(ISERROR(FIND("■",Mail!$A106,FIND(R$2,Mail!$A106)+LEN(R$2))-FIND(R$2,Mail!$A106)-LEN(R$2)),LEN(Mail!$A106)-60-FIND(R$2,Mail!$A106)-LEN(R$2),FIND("■",Mail!$A106,FIND(R$2,Mail!$A106)+LEN(R$2))-FIND(R$2,Mail!$A106)-LEN(R$2)-1)))))</f>
        <v/>
      </c>
      <c r="S108" t="str">
        <f>TRIM(CLEAN(IF(ISERROR(FIND(S$2,Mail!$A106)),"",MID(Mail!$A106,FIND(S$2,Mail!$A106)+LEN(S$2)+1,IF(ISERROR(FIND("■",Mail!$A106,FIND(S$2,Mail!$A106)+LEN(S$2))-FIND(S$2,Mail!$A106)-LEN(S$2)),LEN(Mail!$A106)-60-FIND(S$2,Mail!$A106)-LEN(S$2),FIND("■",Mail!$A106,FIND(S$2,Mail!$A106)+LEN(S$2))-FIND(S$2,Mail!$A106)-LEN(S$2)-1)))))</f>
        <v/>
      </c>
      <c r="T108" t="str">
        <f>TRIM(CLEAN(IF(ISERROR(FIND(T$2,Mail!$A106)),"",MID(Mail!$A106,FIND(T$2,Mail!$A106)+LEN(T$2)+1,IF(ISERROR(FIND("■",Mail!$A106,FIND(T$2,Mail!$A106)+LEN(T$2))-FIND(T$2,Mail!$A106)-LEN(T$2)),LEN(Mail!$A106)-60-FIND(T$2,Mail!$A106)-LEN(T$2),FIND("■",Mail!$A106,FIND(T$2,Mail!$A106)+LEN(T$2))-FIND(T$2,Mail!$A106)-LEN(T$2)-1)))))</f>
        <v/>
      </c>
      <c r="U108" t="str">
        <f>TRIM(CLEAN(IF(ISERROR(FIND(U$2,Mail!$A106)),"",MID(Mail!$A106,FIND(U$2,Mail!$A106)+LEN(U$2)+1,IF(ISERROR(FIND("■",Mail!$A106,FIND(U$2,Mail!$A106)+LEN(U$2))-FIND(U$2,Mail!$A106)-LEN(U$2)),LEN(Mail!$A106)-60-FIND(U$2,Mail!$A106)-LEN(U$2),FIND("■",Mail!$A106,FIND(U$2,Mail!$A106)+LEN(U$2))-FIND(U$2,Mail!$A106)-LEN(U$2)-1)))))</f>
        <v/>
      </c>
      <c r="V108" t="str">
        <f>TRIM(CLEAN(IF(ISERROR(FIND(V$2,Mail!$A106)),"",MID(Mail!$A106,FIND(V$2,Mail!$A106)+LEN(V$2)+1,IF(ISERROR(FIND("■",Mail!$A106,FIND(V$2,Mail!$A106)+LEN(V$2))-FIND(V$2,Mail!$A106)-LEN(V$2)),LEN(Mail!$A106)-60-FIND(V$2,Mail!$A106)-LEN(V$2),FIND("■",Mail!$A106,FIND(V$2,Mail!$A106)+LEN(V$2))-FIND(V$2,Mail!$A106)-LEN(V$2)-1)))))</f>
        <v/>
      </c>
      <c r="W108" t="str">
        <f>TRIM(CLEAN(IF(ISERROR(FIND(W$2,Mail!$A106)),"",MID(Mail!$A106,FIND(W$2,Mail!$A106)+LEN(W$2)+1,IF(ISERROR(FIND("■",Mail!$A106,FIND(W$2,Mail!$A106)+LEN(W$2))-FIND(W$2,Mail!$A106)-LEN(W$2)),LEN(Mail!$A106)-60-FIND(W$2,Mail!$A106)-LEN(W$2),FIND("■",Mail!$A106,FIND(W$2,Mail!$A106)+LEN(W$2))-FIND(W$2,Mail!$A106)-LEN(W$2)-1)))))</f>
        <v/>
      </c>
      <c r="X108" t="str">
        <f>TRIM(IF(ISERROR(FIND(X$2,Mail!$A106)),"",MID(Mail!$A106,FIND(X$2,Mail!$A106)+LEN(X$2)+1,IF(ISERROR(FIND("■",Mail!$A106,FIND(X$2,Mail!$A106)+LEN(X$2))-FIND(X$2,Mail!$A106)-LEN(X$2)),LEN(Mail!$A106)-60-FIND(X$2,Mail!$A106)-LEN(X$2),FIND("■",Mail!$A106,FIND(X$2,Mail!$A106)+LEN(X$2))-FIND(X$2,Mail!$A106)-LEN(X$2)-1))))</f>
        <v/>
      </c>
      <c r="Y108" t="str">
        <f>TRIM(CLEAN(IF(ISERROR(FIND(Y$2,Mail!$A106)),"",MID(Mail!$A106,FIND(Y$2,Mail!$A106)+LEN(Y$2)+1,IF(ISERROR(FIND("■",Mail!$A106,FIND(Y$2,Mail!$A106)+LEN(Y$2))-FIND(Y$2,Mail!$A106)-LEN(Y$2)),LEN(Mail!$A106)-60-FIND(Y$2,Mail!$A106)-LEN(Y$2),FIND("■",Mail!$A106,FIND(Y$2,Mail!$A106)+LEN(Y$2))-FIND(Y$2,Mail!$A106)-LEN(Y$2)-1)))))</f>
        <v/>
      </c>
      <c r="Z108" t="str">
        <f>TRIM(CLEAN(IF(ISERROR(FIND(Z$2,Mail!$A106)),"",MID(Mail!$A106,FIND(Z$2,Mail!$A106)+LEN(Z$2)+1,IF(ISERROR(FIND("■",Mail!$A106,FIND(Z$2,Mail!$A106)+LEN(Z$2))-FIND(Z$2,Mail!$A106)-LEN(Z$2)),LEN(Mail!$A106)-60-FIND(Z$2,Mail!$A106)-LEN(Z$2),FIND("■",Mail!$A106,FIND(Z$2,Mail!$A106)+LEN(Z$2))-FIND(Z$2,Mail!$A106)-LEN(Z$2)-1)))))</f>
        <v/>
      </c>
      <c r="AA108" t="str">
        <f>TRIM(CLEAN(IF(ISERROR(FIND(AA$2,Mail!$A106)),"",MID(Mail!$A106,FIND(AA$2,Mail!$A106)+LEN(AA$2)+1,IF(ISERROR(FIND("■",Mail!$A106,FIND(AA$2,Mail!$A106)+LEN(AA$2))-FIND(AA$2,Mail!$A106)-LEN(AA$2)),LEN(Mail!$A106)-60-FIND(AA$2,Mail!$A106)-LEN(AA$2),FIND("■",Mail!$A106,FIND(AA$2,Mail!$A106)+LEN(AA$2))-FIND(AA$2,Mail!$A106)-LEN(AA$2)-1)))))</f>
        <v/>
      </c>
      <c r="AB108" t="str">
        <f>TRIM(CLEAN(IF(ISERROR(FIND(AB$2,Mail!$A106)),"",MID(Mail!$A106,FIND(AB$2,Mail!$A106)+LEN(AB$2)+1,IF(ISERROR(FIND("■",Mail!$A106,FIND(AB$2,Mail!$A106)+LEN(AB$2))-FIND(AB$2,Mail!$A106)-LEN(AB$2)),LEN(Mail!$A106)-60-FIND(AB$2,Mail!$A106)-LEN(AB$2),FIND("■",Mail!$A106,FIND(AB$2,Mail!$A106)+LEN(AB$2))-FIND(AB$2,Mail!$A106)-LEN(AB$2)-1)))))</f>
        <v/>
      </c>
      <c r="AC108" s="8" t="str">
        <f>TRIM(CLEAN(IF(ISERROR(FIND(AC$2,Mail!$A106)),"",MID(Mail!$A106,FIND(AC$2,Mail!$A106)+LEN(AC$2)+1,IF(ISERROR(FIND("■",Mail!$A106,FIND(AC$2,Mail!$A106)+LEN(AC$2))-FIND(AC$2,Mail!$A106)-LEN(AC$2)),LEN(Mail!$A106)-60-FIND(AC$2,Mail!$A106)-LEN(AC$2),FIND("■",Mail!$A106,FIND(AC$2,Mail!$A106)+LEN(AC$2))-FIND(AC$2,Mail!$A106)-LEN(AC$2)-1)))))</f>
        <v/>
      </c>
      <c r="AD108" t="str">
        <f>TRIM(CLEAN(IF(ISERROR(FIND(AD$2,Mail!$A106)),"",MID(Mail!$A106,FIND(AD$2,Mail!$A106)+LEN(AD$2)+1,IF(ISERROR(FIND("■",Mail!$A106,FIND(AD$2,Mail!$A106)+LEN(AD$2))-FIND(AD$2,Mail!$A106)-LEN(AD$2)),LEN(Mail!$A106)-60-FIND(AD$2,Mail!$A106)-LEN(AD$2),FIND("■",Mail!$A106,FIND(AD$2,Mail!$A106)+LEN(AD$2))-FIND(AD$2,Mail!$A106)-LEN(AD$2)-1)))))</f>
        <v/>
      </c>
      <c r="AE108" t="str">
        <f>TRIM(CLEAN(IF(ISERROR(FIND(AE$2,Mail!$A106)),"",MID(Mail!$A106,FIND(AE$2,Mail!$A106)+LEN(AE$2)+1,IF(ISERROR(FIND("■",Mail!$A106,FIND(AE$2,Mail!$A106)+LEN(AE$2))-FIND(AE$2,Mail!$A106)-LEN(AE$2)),LEN(Mail!$A106)-60-FIND(AE$2,Mail!$A106)-LEN(AE$2),FIND("■",Mail!$A106,FIND(AE$2,Mail!$A106)+LEN(AE$2))-FIND(AE$2,Mail!$A106)-LEN(AE$2)-1)))))</f>
        <v/>
      </c>
      <c r="AF108" t="str">
        <f>TRIM(CLEAN(IF(ISERROR(FIND(AF$2,Mail!$A106)),"",MID(Mail!$A106,FIND(AF$2,Mail!$A106)+LEN(AF$2)+1,IF(ISERROR(FIND("■",Mail!$A106,FIND(AF$2,Mail!$A106)+LEN(AF$2))-FIND(AF$2,Mail!$A106)-LEN(AF$2)),LEN(Mail!$A106)-60-FIND(AF$2,Mail!$A106)-LEN(AF$2),FIND("■",Mail!$A106,FIND(AF$2,Mail!$A106)+LEN(AF$2))-FIND(AF$2,Mail!$A106)-LEN(AF$2)-1)))))</f>
        <v/>
      </c>
      <c r="AG108" t="str">
        <f>TRIM(IF(ISERROR(FIND(AG$2,Mail!$A106)),"",MID(Mail!$A106,FIND(AG$2,Mail!$A106)+LEN(AG$2)+1,IF(ISERROR(FIND("■",Mail!$A106,FIND(AG$2,Mail!$A106)+LEN(AG$2))-FIND(AG$2,Mail!$A106)-LEN(AG$2)),LEN(Mail!$A106)-60-FIND(AG$2,Mail!$A106)-LEN(AG$2),FIND("■",Mail!$A106,FIND(AG$2,Mail!$A106)+LEN(AG$2))-FIND(AG$2,Mail!$A106)-LEN(AG$2)-1))))</f>
        <v/>
      </c>
      <c r="AH108" t="str">
        <f>TRIM(IF(ISERROR(FIND(AH$2,Mail!$A106)),"",MID(Mail!$A106,FIND(AH$2,Mail!$A106)+LEN(AH$2)+1,IF(ISERROR(FIND("■",Mail!$A106,FIND(AH$2,Mail!$A106)+LEN(AH$2))-FIND(AH$2,Mail!$A106)-LEN(AH$2)),LEN(Mail!$A106)-60-FIND(AH$2,Mail!$A106)-LEN(AH$2),FIND("■",Mail!$A106,FIND(AH$2,Mail!$A106)+LEN(AH$2))-FIND(AH$2,Mail!$A106)-LEN(AH$2)-1))))</f>
        <v/>
      </c>
      <c r="AI108" t="str">
        <f>TRIM(IF(ISERROR(FIND(AI$2,Mail!$A106)),"",MID(Mail!$A106,FIND(AI$2,Mail!$A106)+LEN(AI$2)+1,IF(ISERROR(FIND("■",Mail!$A106,FIND(AI$2,Mail!$A106)+LEN(AI$2))-FIND(AI$2,Mail!$A106)-LEN(AI$2)),LEN(Mail!$A106)-60-FIND(AI$2,Mail!$A106)-LEN(AI$2),FIND("■",Mail!$A106,FIND(AI$2,Mail!$A106)+LEN(AI$2))-FIND(AI$2,Mail!$A106)-LEN(AI$2)-1))))</f>
        <v/>
      </c>
    </row>
    <row r="109" spans="1:35" x14ac:dyDescent="0.15">
      <c r="A109" s="9" t="str">
        <f t="shared" si="6"/>
        <v/>
      </c>
      <c r="B109" s="8" t="str">
        <f>CLEAN(SUBSTITUTE(IF(ISERROR(FIND("yokohama",Mail!$A107)),"",MID(Mail!$A107,FIND("yokohama",Mail!$A107)+LEN("yokohama")+1,FIND("件目",Mail!$A107,FIND("yokohama",Mail!$A107))-(FIND("yokohama",Mail!$A107)+LEN("yokohama")+1)))," ",""))</f>
        <v/>
      </c>
      <c r="C109" s="2" t="str">
        <f t="shared" si="9"/>
        <v/>
      </c>
      <c r="D109" s="9" t="str">
        <f t="shared" si="7"/>
        <v/>
      </c>
      <c r="E109" s="8" t="str">
        <f t="shared" si="8"/>
        <v/>
      </c>
      <c r="F109" t="str">
        <f>TRIM(CLEAN(IF(ISERROR(FIND(F$2,Mail!$A107)),"",MID(Mail!$A107,FIND(F$2,Mail!$A107)+LEN(F$2)+1,IF(ISERROR(FIND("■",Mail!$A107,FIND(F$2,Mail!$A107)+LEN(F$2))-FIND(F$2,Mail!$A107)-LEN(F$2)),LEN(Mail!$A107)-60-FIND(F$2,Mail!$A107)-LEN(F$2),FIND("■",Mail!$A107,FIND(F$2,Mail!$A107)+LEN(F$2))-FIND(F$2,Mail!$A107)-LEN(F$2)-1)))))</f>
        <v/>
      </c>
      <c r="G109" t="str">
        <f>TRIM(CLEAN(IF(ISERROR(FIND(G$2,Mail!$A107)),"",MID(Mail!$A107,FIND(G$2,Mail!$A107)+LEN(G$2)+1,IF(ISERROR(FIND("■",Mail!$A107,FIND(G$2,Mail!$A107)+LEN(G$2))-FIND(G$2,Mail!$A107)-LEN(G$2)),LEN(Mail!$A107)-60-FIND(G$2,Mail!$A107)-LEN(G$2),FIND("■",Mail!$A107,FIND(G$2,Mail!$A107)+LEN(G$2))-FIND(G$2,Mail!$A107)-LEN(G$2)-1)))))</f>
        <v/>
      </c>
      <c r="H109" s="8" t="str">
        <f>TRIM(CLEAN(IF(ISERROR(FIND(H$2,Mail!$A107)),"",MID(Mail!$A107,FIND(H$2,Mail!$A107)+LEN(H$2)+1,IF(ISERROR(FIND("■",Mail!$A107,FIND(H$2,Mail!$A107)+LEN(H$2))-FIND(H$2,Mail!$A107)-LEN(H$2)),LEN(Mail!$A107)-60-FIND(H$2,Mail!$A107)-LEN(H$2),FIND("■",Mail!$A107,FIND(H$2,Mail!$A107)+LEN(H$2))-FIND(H$2,Mail!$A107)-LEN(H$2)-1)))))</f>
        <v/>
      </c>
      <c r="I109" t="str">
        <f>TRIM(CLEAN(IF(ISERROR(FIND(I$2,Mail!$A107)),"",MID(Mail!$A107,FIND(I$2,Mail!$A107)+LEN(I$2)+1,IF(ISERROR(FIND("■",Mail!$A107,FIND(I$2,Mail!$A107)+LEN(I$2))-FIND(I$2,Mail!$A107)-LEN(I$2)),LEN(Mail!$A107)-60-FIND(I$2,Mail!$A107)-LEN(I$2),FIND("■",Mail!$A107,FIND(I$2,Mail!$A107)+LEN(I$2))-FIND(I$2,Mail!$A107)-LEN(I$2)-1)))))</f>
        <v/>
      </c>
      <c r="J109" t="str">
        <f>TRIM(IF(ISERROR(FIND(J$2,Mail!$A107)),"",MID(Mail!$A107,FIND(J$2,Mail!$A107)+LEN(J$2)+1,IF(ISERROR(FIND("■",Mail!$A107,FIND(J$2,Mail!$A107)+LEN(J$2))-FIND(J$2,Mail!$A107)-LEN(J$2)),LEN(Mail!$A107)-60-FIND(J$2,Mail!$A107)-LEN(J$2),FIND("■",Mail!$A107,FIND(J$2,Mail!$A107)+LEN(J$2))-FIND(J$2,Mail!$A107)-LEN(J$2)-1))))</f>
        <v/>
      </c>
      <c r="K109" t="str">
        <f>TRIM(IF(ISERROR(FIND(K$2,Mail!$A107)),"",MID(Mail!$A107,FIND(K$2,Mail!$A107)+LEN(K$2)+1,IF(ISERROR(FIND("■",Mail!$A107,FIND(K$2,Mail!$A107)+LEN(K$2))-FIND(K$2,Mail!$A107)-LEN(K$2)),LEN(Mail!$A107)-60-FIND(K$2,Mail!$A107)-LEN(K$2),FIND("■",Mail!$A107,FIND(K$2,Mail!$A107)+LEN(K$2))-FIND(K$2,Mail!$A107)-LEN(K$2)-1))))</f>
        <v/>
      </c>
      <c r="L109" t="str">
        <f>TRIM(IF(ISERROR(FIND(L$2,Mail!$A107)),"",MID(Mail!$A107,FIND(L$2,Mail!$A107)+LEN(L$2)+1,IF(ISERROR(FIND("■",Mail!$A107,FIND(L$2,Mail!$A107)+LEN(L$2))-FIND(L$2,Mail!$A107)-LEN(L$2)),LEN(Mail!$A107)-60-FIND(L$2,Mail!$A107)-LEN(L$2),FIND("■",Mail!$A107,FIND(L$2,Mail!$A107)+LEN(L$2))-FIND(L$2,Mail!$A107)-LEN(L$2)-1))))</f>
        <v/>
      </c>
      <c r="M109" t="str">
        <f>TRIM(CLEAN(IF(ISERROR(FIND(M$2,Mail!$A107)),"",MID(Mail!$A107,FIND(M$2,Mail!$A107)+LEN(M$2)+1,IF(ISERROR(FIND("■",Mail!$A107,FIND(M$2,Mail!$A107)+LEN(M$2))-FIND(M$2,Mail!$A107)-LEN(M$2)),LEN(Mail!$A107)-60-FIND(M$2,Mail!$A107)-LEN(M$2),FIND("■",Mail!$A107,FIND(M$2,Mail!$A107)+LEN(M$2))-FIND(M$2,Mail!$A107)-LEN(M$2)-1)))))</f>
        <v/>
      </c>
      <c r="N109" t="str">
        <f>TRIM(CLEAN(IF(ISERROR(FIND(N$2,Mail!$A107)),"",MID(Mail!$A107,FIND(N$2,Mail!$A107)+LEN(N$2)+1,IF(ISERROR(FIND("■",Mail!$A107,FIND(N$2,Mail!$A107)+LEN(N$2))-FIND(N$2,Mail!$A107)-LEN(N$2)),LEN(Mail!$A107)-60-FIND(N$2,Mail!$A107)-LEN(N$2),FIND("■",Mail!$A107,FIND(N$2,Mail!$A107)+LEN(N$2))-FIND(N$2,Mail!$A107)-LEN(N$2)-1)))))</f>
        <v/>
      </c>
      <c r="O109" t="str">
        <f>TRIM(CLEAN(IF(ISERROR(FIND(O$2,Mail!$A107)),"",MID(Mail!$A107,FIND(O$2,Mail!$A107)+LEN(O$2)+1,IF(ISERROR(FIND("■",Mail!$A107,FIND(O$2,Mail!$A107)+LEN(O$2))-FIND(O$2,Mail!$A107)-LEN(O$2)),LEN(Mail!$A107)-60-FIND(O$2,Mail!$A107)-LEN(O$2),FIND("■",Mail!$A107,FIND(O$2,Mail!$A107)+LEN(O$2))-FIND(O$2,Mail!$A107)-LEN(O$2)-1)))))</f>
        <v/>
      </c>
      <c r="P109" t="str">
        <f>TRIM(CLEAN(IF(ISERROR(FIND(P$2,Mail!$A107)),"",MID(Mail!$A107,FIND(P$2,Mail!$A107)+LEN(P$2)+1,IF(ISERROR(FIND("■",Mail!$A107,FIND(P$2,Mail!$A107)+LEN(P$2))-FIND(P$2,Mail!$A107)-LEN(P$2)),LEN(Mail!$A107)-60-FIND(P$2,Mail!$A107)-LEN(P$2),FIND("■",Mail!$A107,FIND(P$2,Mail!$A107)+LEN(P$2))-FIND(P$2,Mail!$A107)-LEN(P$2)-1)))))</f>
        <v/>
      </c>
      <c r="Q109" t="str">
        <f>TRIM(CLEAN(IF(ISERROR(FIND(Q$2,Mail!$A107)),"",MID(Mail!$A107,FIND(Q$2,Mail!$A107)+LEN(Q$2)+1,IF(ISERROR(FIND("■",Mail!$A107,FIND(Q$2,Mail!$A107)+LEN(Q$2))-FIND(Q$2,Mail!$A107)-LEN(Q$2)),LEN(Mail!$A107)-60-FIND(Q$2,Mail!$A107)-LEN(Q$2),FIND("■",Mail!$A107,FIND(Q$2,Mail!$A107)+LEN(Q$2))-FIND(Q$2,Mail!$A107)-LEN(Q$2)-1)))))</f>
        <v/>
      </c>
      <c r="R109" s="8" t="str">
        <f>TRIM(CLEAN(IF(ISERROR(FIND(R$2,Mail!$A107)),"",MID(Mail!$A107,FIND(R$2,Mail!$A107)+LEN(R$2)+1,IF(ISERROR(FIND("■",Mail!$A107,FIND(R$2,Mail!$A107)+LEN(R$2))-FIND(R$2,Mail!$A107)-LEN(R$2)),LEN(Mail!$A107)-60-FIND(R$2,Mail!$A107)-LEN(R$2),FIND("■",Mail!$A107,FIND(R$2,Mail!$A107)+LEN(R$2))-FIND(R$2,Mail!$A107)-LEN(R$2)-1)))))</f>
        <v/>
      </c>
      <c r="S109" t="str">
        <f>TRIM(CLEAN(IF(ISERROR(FIND(S$2,Mail!$A107)),"",MID(Mail!$A107,FIND(S$2,Mail!$A107)+LEN(S$2)+1,IF(ISERROR(FIND("■",Mail!$A107,FIND(S$2,Mail!$A107)+LEN(S$2))-FIND(S$2,Mail!$A107)-LEN(S$2)),LEN(Mail!$A107)-60-FIND(S$2,Mail!$A107)-LEN(S$2),FIND("■",Mail!$A107,FIND(S$2,Mail!$A107)+LEN(S$2))-FIND(S$2,Mail!$A107)-LEN(S$2)-1)))))</f>
        <v/>
      </c>
      <c r="T109" t="str">
        <f>TRIM(CLEAN(IF(ISERROR(FIND(T$2,Mail!$A107)),"",MID(Mail!$A107,FIND(T$2,Mail!$A107)+LEN(T$2)+1,IF(ISERROR(FIND("■",Mail!$A107,FIND(T$2,Mail!$A107)+LEN(T$2))-FIND(T$2,Mail!$A107)-LEN(T$2)),LEN(Mail!$A107)-60-FIND(T$2,Mail!$A107)-LEN(T$2),FIND("■",Mail!$A107,FIND(T$2,Mail!$A107)+LEN(T$2))-FIND(T$2,Mail!$A107)-LEN(T$2)-1)))))</f>
        <v/>
      </c>
      <c r="U109" t="str">
        <f>TRIM(CLEAN(IF(ISERROR(FIND(U$2,Mail!$A107)),"",MID(Mail!$A107,FIND(U$2,Mail!$A107)+LEN(U$2)+1,IF(ISERROR(FIND("■",Mail!$A107,FIND(U$2,Mail!$A107)+LEN(U$2))-FIND(U$2,Mail!$A107)-LEN(U$2)),LEN(Mail!$A107)-60-FIND(U$2,Mail!$A107)-LEN(U$2),FIND("■",Mail!$A107,FIND(U$2,Mail!$A107)+LEN(U$2))-FIND(U$2,Mail!$A107)-LEN(U$2)-1)))))</f>
        <v/>
      </c>
      <c r="V109" t="str">
        <f>TRIM(CLEAN(IF(ISERROR(FIND(V$2,Mail!$A107)),"",MID(Mail!$A107,FIND(V$2,Mail!$A107)+LEN(V$2)+1,IF(ISERROR(FIND("■",Mail!$A107,FIND(V$2,Mail!$A107)+LEN(V$2))-FIND(V$2,Mail!$A107)-LEN(V$2)),LEN(Mail!$A107)-60-FIND(V$2,Mail!$A107)-LEN(V$2),FIND("■",Mail!$A107,FIND(V$2,Mail!$A107)+LEN(V$2))-FIND(V$2,Mail!$A107)-LEN(V$2)-1)))))</f>
        <v/>
      </c>
      <c r="W109" t="str">
        <f>TRIM(CLEAN(IF(ISERROR(FIND(W$2,Mail!$A107)),"",MID(Mail!$A107,FIND(W$2,Mail!$A107)+LEN(W$2)+1,IF(ISERROR(FIND("■",Mail!$A107,FIND(W$2,Mail!$A107)+LEN(W$2))-FIND(W$2,Mail!$A107)-LEN(W$2)),LEN(Mail!$A107)-60-FIND(W$2,Mail!$A107)-LEN(W$2),FIND("■",Mail!$A107,FIND(W$2,Mail!$A107)+LEN(W$2))-FIND(W$2,Mail!$A107)-LEN(W$2)-1)))))</f>
        <v/>
      </c>
      <c r="X109" t="str">
        <f>TRIM(IF(ISERROR(FIND(X$2,Mail!$A107)),"",MID(Mail!$A107,FIND(X$2,Mail!$A107)+LEN(X$2)+1,IF(ISERROR(FIND("■",Mail!$A107,FIND(X$2,Mail!$A107)+LEN(X$2))-FIND(X$2,Mail!$A107)-LEN(X$2)),LEN(Mail!$A107)-60-FIND(X$2,Mail!$A107)-LEN(X$2),FIND("■",Mail!$A107,FIND(X$2,Mail!$A107)+LEN(X$2))-FIND(X$2,Mail!$A107)-LEN(X$2)-1))))</f>
        <v/>
      </c>
      <c r="Y109" t="str">
        <f>TRIM(CLEAN(IF(ISERROR(FIND(Y$2,Mail!$A107)),"",MID(Mail!$A107,FIND(Y$2,Mail!$A107)+LEN(Y$2)+1,IF(ISERROR(FIND("■",Mail!$A107,FIND(Y$2,Mail!$A107)+LEN(Y$2))-FIND(Y$2,Mail!$A107)-LEN(Y$2)),LEN(Mail!$A107)-60-FIND(Y$2,Mail!$A107)-LEN(Y$2),FIND("■",Mail!$A107,FIND(Y$2,Mail!$A107)+LEN(Y$2))-FIND(Y$2,Mail!$A107)-LEN(Y$2)-1)))))</f>
        <v/>
      </c>
      <c r="Z109" t="str">
        <f>TRIM(CLEAN(IF(ISERROR(FIND(Z$2,Mail!$A107)),"",MID(Mail!$A107,FIND(Z$2,Mail!$A107)+LEN(Z$2)+1,IF(ISERROR(FIND("■",Mail!$A107,FIND(Z$2,Mail!$A107)+LEN(Z$2))-FIND(Z$2,Mail!$A107)-LEN(Z$2)),LEN(Mail!$A107)-60-FIND(Z$2,Mail!$A107)-LEN(Z$2),FIND("■",Mail!$A107,FIND(Z$2,Mail!$A107)+LEN(Z$2))-FIND(Z$2,Mail!$A107)-LEN(Z$2)-1)))))</f>
        <v/>
      </c>
      <c r="AA109" t="str">
        <f>TRIM(CLEAN(IF(ISERROR(FIND(AA$2,Mail!$A107)),"",MID(Mail!$A107,FIND(AA$2,Mail!$A107)+LEN(AA$2)+1,IF(ISERROR(FIND("■",Mail!$A107,FIND(AA$2,Mail!$A107)+LEN(AA$2))-FIND(AA$2,Mail!$A107)-LEN(AA$2)),LEN(Mail!$A107)-60-FIND(AA$2,Mail!$A107)-LEN(AA$2),FIND("■",Mail!$A107,FIND(AA$2,Mail!$A107)+LEN(AA$2))-FIND(AA$2,Mail!$A107)-LEN(AA$2)-1)))))</f>
        <v/>
      </c>
      <c r="AB109" t="str">
        <f>TRIM(CLEAN(IF(ISERROR(FIND(AB$2,Mail!$A107)),"",MID(Mail!$A107,FIND(AB$2,Mail!$A107)+LEN(AB$2)+1,IF(ISERROR(FIND("■",Mail!$A107,FIND(AB$2,Mail!$A107)+LEN(AB$2))-FIND(AB$2,Mail!$A107)-LEN(AB$2)),LEN(Mail!$A107)-60-FIND(AB$2,Mail!$A107)-LEN(AB$2),FIND("■",Mail!$A107,FIND(AB$2,Mail!$A107)+LEN(AB$2))-FIND(AB$2,Mail!$A107)-LEN(AB$2)-1)))))</f>
        <v/>
      </c>
      <c r="AC109" s="8" t="str">
        <f>TRIM(CLEAN(IF(ISERROR(FIND(AC$2,Mail!$A107)),"",MID(Mail!$A107,FIND(AC$2,Mail!$A107)+LEN(AC$2)+1,IF(ISERROR(FIND("■",Mail!$A107,FIND(AC$2,Mail!$A107)+LEN(AC$2))-FIND(AC$2,Mail!$A107)-LEN(AC$2)),LEN(Mail!$A107)-60-FIND(AC$2,Mail!$A107)-LEN(AC$2),FIND("■",Mail!$A107,FIND(AC$2,Mail!$A107)+LEN(AC$2))-FIND(AC$2,Mail!$A107)-LEN(AC$2)-1)))))</f>
        <v/>
      </c>
      <c r="AD109" t="str">
        <f>TRIM(CLEAN(IF(ISERROR(FIND(AD$2,Mail!$A107)),"",MID(Mail!$A107,FIND(AD$2,Mail!$A107)+LEN(AD$2)+1,IF(ISERROR(FIND("■",Mail!$A107,FIND(AD$2,Mail!$A107)+LEN(AD$2))-FIND(AD$2,Mail!$A107)-LEN(AD$2)),LEN(Mail!$A107)-60-FIND(AD$2,Mail!$A107)-LEN(AD$2),FIND("■",Mail!$A107,FIND(AD$2,Mail!$A107)+LEN(AD$2))-FIND(AD$2,Mail!$A107)-LEN(AD$2)-1)))))</f>
        <v/>
      </c>
      <c r="AE109" t="str">
        <f>TRIM(CLEAN(IF(ISERROR(FIND(AE$2,Mail!$A107)),"",MID(Mail!$A107,FIND(AE$2,Mail!$A107)+LEN(AE$2)+1,IF(ISERROR(FIND("■",Mail!$A107,FIND(AE$2,Mail!$A107)+LEN(AE$2))-FIND(AE$2,Mail!$A107)-LEN(AE$2)),LEN(Mail!$A107)-60-FIND(AE$2,Mail!$A107)-LEN(AE$2),FIND("■",Mail!$A107,FIND(AE$2,Mail!$A107)+LEN(AE$2))-FIND(AE$2,Mail!$A107)-LEN(AE$2)-1)))))</f>
        <v/>
      </c>
      <c r="AF109" t="str">
        <f>TRIM(CLEAN(IF(ISERROR(FIND(AF$2,Mail!$A107)),"",MID(Mail!$A107,FIND(AF$2,Mail!$A107)+LEN(AF$2)+1,IF(ISERROR(FIND("■",Mail!$A107,FIND(AF$2,Mail!$A107)+LEN(AF$2))-FIND(AF$2,Mail!$A107)-LEN(AF$2)),LEN(Mail!$A107)-60-FIND(AF$2,Mail!$A107)-LEN(AF$2),FIND("■",Mail!$A107,FIND(AF$2,Mail!$A107)+LEN(AF$2))-FIND(AF$2,Mail!$A107)-LEN(AF$2)-1)))))</f>
        <v/>
      </c>
      <c r="AG109" t="str">
        <f>TRIM(IF(ISERROR(FIND(AG$2,Mail!$A107)),"",MID(Mail!$A107,FIND(AG$2,Mail!$A107)+LEN(AG$2)+1,IF(ISERROR(FIND("■",Mail!$A107,FIND(AG$2,Mail!$A107)+LEN(AG$2))-FIND(AG$2,Mail!$A107)-LEN(AG$2)),LEN(Mail!$A107)-60-FIND(AG$2,Mail!$A107)-LEN(AG$2),FIND("■",Mail!$A107,FIND(AG$2,Mail!$A107)+LEN(AG$2))-FIND(AG$2,Mail!$A107)-LEN(AG$2)-1))))</f>
        <v/>
      </c>
      <c r="AH109" t="str">
        <f>TRIM(IF(ISERROR(FIND(AH$2,Mail!$A107)),"",MID(Mail!$A107,FIND(AH$2,Mail!$A107)+LEN(AH$2)+1,IF(ISERROR(FIND("■",Mail!$A107,FIND(AH$2,Mail!$A107)+LEN(AH$2))-FIND(AH$2,Mail!$A107)-LEN(AH$2)),LEN(Mail!$A107)-60-FIND(AH$2,Mail!$A107)-LEN(AH$2),FIND("■",Mail!$A107,FIND(AH$2,Mail!$A107)+LEN(AH$2))-FIND(AH$2,Mail!$A107)-LEN(AH$2)-1))))</f>
        <v/>
      </c>
      <c r="AI109" t="str">
        <f>TRIM(IF(ISERROR(FIND(AI$2,Mail!$A107)),"",MID(Mail!$A107,FIND(AI$2,Mail!$A107)+LEN(AI$2)+1,IF(ISERROR(FIND("■",Mail!$A107,FIND(AI$2,Mail!$A107)+LEN(AI$2))-FIND(AI$2,Mail!$A107)-LEN(AI$2)),LEN(Mail!$A107)-60-FIND(AI$2,Mail!$A107)-LEN(AI$2),FIND("■",Mail!$A107,FIND(AI$2,Mail!$A107)+LEN(AI$2))-FIND(AI$2,Mail!$A107)-LEN(AI$2)-1))))</f>
        <v/>
      </c>
    </row>
    <row r="110" spans="1:35" x14ac:dyDescent="0.15">
      <c r="A110" s="9" t="str">
        <f t="shared" si="6"/>
        <v/>
      </c>
      <c r="B110" s="8" t="str">
        <f>CLEAN(SUBSTITUTE(IF(ISERROR(FIND("yokohama",Mail!$A108)),"",MID(Mail!$A108,FIND("yokohama",Mail!$A108)+LEN("yokohama")+1,FIND("件目",Mail!$A108,FIND("yokohama",Mail!$A108))-(FIND("yokohama",Mail!$A108)+LEN("yokohama")+1)))," ",""))</f>
        <v/>
      </c>
      <c r="C110" s="2" t="str">
        <f t="shared" si="9"/>
        <v/>
      </c>
      <c r="D110" s="9" t="str">
        <f t="shared" si="7"/>
        <v/>
      </c>
      <c r="E110" s="8" t="str">
        <f t="shared" si="8"/>
        <v/>
      </c>
      <c r="F110" t="str">
        <f>TRIM(CLEAN(IF(ISERROR(FIND(F$2,Mail!$A108)),"",MID(Mail!$A108,FIND(F$2,Mail!$A108)+LEN(F$2)+1,IF(ISERROR(FIND("■",Mail!$A108,FIND(F$2,Mail!$A108)+LEN(F$2))-FIND(F$2,Mail!$A108)-LEN(F$2)),LEN(Mail!$A108)-60-FIND(F$2,Mail!$A108)-LEN(F$2),FIND("■",Mail!$A108,FIND(F$2,Mail!$A108)+LEN(F$2))-FIND(F$2,Mail!$A108)-LEN(F$2)-1)))))</f>
        <v/>
      </c>
      <c r="G110" t="str">
        <f>TRIM(CLEAN(IF(ISERROR(FIND(G$2,Mail!$A108)),"",MID(Mail!$A108,FIND(G$2,Mail!$A108)+LEN(G$2)+1,IF(ISERROR(FIND("■",Mail!$A108,FIND(G$2,Mail!$A108)+LEN(G$2))-FIND(G$2,Mail!$A108)-LEN(G$2)),LEN(Mail!$A108)-60-FIND(G$2,Mail!$A108)-LEN(G$2),FIND("■",Mail!$A108,FIND(G$2,Mail!$A108)+LEN(G$2))-FIND(G$2,Mail!$A108)-LEN(G$2)-1)))))</f>
        <v/>
      </c>
      <c r="H110" s="8" t="str">
        <f>TRIM(CLEAN(IF(ISERROR(FIND(H$2,Mail!$A108)),"",MID(Mail!$A108,FIND(H$2,Mail!$A108)+LEN(H$2)+1,IF(ISERROR(FIND("■",Mail!$A108,FIND(H$2,Mail!$A108)+LEN(H$2))-FIND(H$2,Mail!$A108)-LEN(H$2)),LEN(Mail!$A108)-60-FIND(H$2,Mail!$A108)-LEN(H$2),FIND("■",Mail!$A108,FIND(H$2,Mail!$A108)+LEN(H$2))-FIND(H$2,Mail!$A108)-LEN(H$2)-1)))))</f>
        <v/>
      </c>
      <c r="I110" t="str">
        <f>TRIM(CLEAN(IF(ISERROR(FIND(I$2,Mail!$A108)),"",MID(Mail!$A108,FIND(I$2,Mail!$A108)+LEN(I$2)+1,IF(ISERROR(FIND("■",Mail!$A108,FIND(I$2,Mail!$A108)+LEN(I$2))-FIND(I$2,Mail!$A108)-LEN(I$2)),LEN(Mail!$A108)-60-FIND(I$2,Mail!$A108)-LEN(I$2),FIND("■",Mail!$A108,FIND(I$2,Mail!$A108)+LEN(I$2))-FIND(I$2,Mail!$A108)-LEN(I$2)-1)))))</f>
        <v/>
      </c>
      <c r="J110" t="str">
        <f>TRIM(IF(ISERROR(FIND(J$2,Mail!$A108)),"",MID(Mail!$A108,FIND(J$2,Mail!$A108)+LEN(J$2)+1,IF(ISERROR(FIND("■",Mail!$A108,FIND(J$2,Mail!$A108)+LEN(J$2))-FIND(J$2,Mail!$A108)-LEN(J$2)),LEN(Mail!$A108)-60-FIND(J$2,Mail!$A108)-LEN(J$2),FIND("■",Mail!$A108,FIND(J$2,Mail!$A108)+LEN(J$2))-FIND(J$2,Mail!$A108)-LEN(J$2)-1))))</f>
        <v/>
      </c>
      <c r="K110" t="str">
        <f>TRIM(IF(ISERROR(FIND(K$2,Mail!$A108)),"",MID(Mail!$A108,FIND(K$2,Mail!$A108)+LEN(K$2)+1,IF(ISERROR(FIND("■",Mail!$A108,FIND(K$2,Mail!$A108)+LEN(K$2))-FIND(K$2,Mail!$A108)-LEN(K$2)),LEN(Mail!$A108)-60-FIND(K$2,Mail!$A108)-LEN(K$2),FIND("■",Mail!$A108,FIND(K$2,Mail!$A108)+LEN(K$2))-FIND(K$2,Mail!$A108)-LEN(K$2)-1))))</f>
        <v/>
      </c>
      <c r="L110" t="str">
        <f>TRIM(IF(ISERROR(FIND(L$2,Mail!$A108)),"",MID(Mail!$A108,FIND(L$2,Mail!$A108)+LEN(L$2)+1,IF(ISERROR(FIND("■",Mail!$A108,FIND(L$2,Mail!$A108)+LEN(L$2))-FIND(L$2,Mail!$A108)-LEN(L$2)),LEN(Mail!$A108)-60-FIND(L$2,Mail!$A108)-LEN(L$2),FIND("■",Mail!$A108,FIND(L$2,Mail!$A108)+LEN(L$2))-FIND(L$2,Mail!$A108)-LEN(L$2)-1))))</f>
        <v/>
      </c>
      <c r="M110" t="str">
        <f>TRIM(CLEAN(IF(ISERROR(FIND(M$2,Mail!$A108)),"",MID(Mail!$A108,FIND(M$2,Mail!$A108)+LEN(M$2)+1,IF(ISERROR(FIND("■",Mail!$A108,FIND(M$2,Mail!$A108)+LEN(M$2))-FIND(M$2,Mail!$A108)-LEN(M$2)),LEN(Mail!$A108)-60-FIND(M$2,Mail!$A108)-LEN(M$2),FIND("■",Mail!$A108,FIND(M$2,Mail!$A108)+LEN(M$2))-FIND(M$2,Mail!$A108)-LEN(M$2)-1)))))</f>
        <v/>
      </c>
      <c r="N110" t="str">
        <f>TRIM(CLEAN(IF(ISERROR(FIND(N$2,Mail!$A108)),"",MID(Mail!$A108,FIND(N$2,Mail!$A108)+LEN(N$2)+1,IF(ISERROR(FIND("■",Mail!$A108,FIND(N$2,Mail!$A108)+LEN(N$2))-FIND(N$2,Mail!$A108)-LEN(N$2)),LEN(Mail!$A108)-60-FIND(N$2,Mail!$A108)-LEN(N$2),FIND("■",Mail!$A108,FIND(N$2,Mail!$A108)+LEN(N$2))-FIND(N$2,Mail!$A108)-LEN(N$2)-1)))))</f>
        <v/>
      </c>
      <c r="O110" t="str">
        <f>TRIM(CLEAN(IF(ISERROR(FIND(O$2,Mail!$A108)),"",MID(Mail!$A108,FIND(O$2,Mail!$A108)+LEN(O$2)+1,IF(ISERROR(FIND("■",Mail!$A108,FIND(O$2,Mail!$A108)+LEN(O$2))-FIND(O$2,Mail!$A108)-LEN(O$2)),LEN(Mail!$A108)-60-FIND(O$2,Mail!$A108)-LEN(O$2),FIND("■",Mail!$A108,FIND(O$2,Mail!$A108)+LEN(O$2))-FIND(O$2,Mail!$A108)-LEN(O$2)-1)))))</f>
        <v/>
      </c>
      <c r="P110" t="str">
        <f>TRIM(CLEAN(IF(ISERROR(FIND(P$2,Mail!$A108)),"",MID(Mail!$A108,FIND(P$2,Mail!$A108)+LEN(P$2)+1,IF(ISERROR(FIND("■",Mail!$A108,FIND(P$2,Mail!$A108)+LEN(P$2))-FIND(P$2,Mail!$A108)-LEN(P$2)),LEN(Mail!$A108)-60-FIND(P$2,Mail!$A108)-LEN(P$2),FIND("■",Mail!$A108,FIND(P$2,Mail!$A108)+LEN(P$2))-FIND(P$2,Mail!$A108)-LEN(P$2)-1)))))</f>
        <v/>
      </c>
      <c r="Q110" t="str">
        <f>TRIM(CLEAN(IF(ISERROR(FIND(Q$2,Mail!$A108)),"",MID(Mail!$A108,FIND(Q$2,Mail!$A108)+LEN(Q$2)+1,IF(ISERROR(FIND("■",Mail!$A108,FIND(Q$2,Mail!$A108)+LEN(Q$2))-FIND(Q$2,Mail!$A108)-LEN(Q$2)),LEN(Mail!$A108)-60-FIND(Q$2,Mail!$A108)-LEN(Q$2),FIND("■",Mail!$A108,FIND(Q$2,Mail!$A108)+LEN(Q$2))-FIND(Q$2,Mail!$A108)-LEN(Q$2)-1)))))</f>
        <v/>
      </c>
      <c r="R110" s="8" t="str">
        <f>TRIM(CLEAN(IF(ISERROR(FIND(R$2,Mail!$A108)),"",MID(Mail!$A108,FIND(R$2,Mail!$A108)+LEN(R$2)+1,IF(ISERROR(FIND("■",Mail!$A108,FIND(R$2,Mail!$A108)+LEN(R$2))-FIND(R$2,Mail!$A108)-LEN(R$2)),LEN(Mail!$A108)-60-FIND(R$2,Mail!$A108)-LEN(R$2),FIND("■",Mail!$A108,FIND(R$2,Mail!$A108)+LEN(R$2))-FIND(R$2,Mail!$A108)-LEN(R$2)-1)))))</f>
        <v/>
      </c>
      <c r="S110" t="str">
        <f>TRIM(CLEAN(IF(ISERROR(FIND(S$2,Mail!$A108)),"",MID(Mail!$A108,FIND(S$2,Mail!$A108)+LEN(S$2)+1,IF(ISERROR(FIND("■",Mail!$A108,FIND(S$2,Mail!$A108)+LEN(S$2))-FIND(S$2,Mail!$A108)-LEN(S$2)),LEN(Mail!$A108)-60-FIND(S$2,Mail!$A108)-LEN(S$2),FIND("■",Mail!$A108,FIND(S$2,Mail!$A108)+LEN(S$2))-FIND(S$2,Mail!$A108)-LEN(S$2)-1)))))</f>
        <v/>
      </c>
      <c r="T110" t="str">
        <f>TRIM(CLEAN(IF(ISERROR(FIND(T$2,Mail!$A108)),"",MID(Mail!$A108,FIND(T$2,Mail!$A108)+LEN(T$2)+1,IF(ISERROR(FIND("■",Mail!$A108,FIND(T$2,Mail!$A108)+LEN(T$2))-FIND(T$2,Mail!$A108)-LEN(T$2)),LEN(Mail!$A108)-60-FIND(T$2,Mail!$A108)-LEN(T$2),FIND("■",Mail!$A108,FIND(T$2,Mail!$A108)+LEN(T$2))-FIND(T$2,Mail!$A108)-LEN(T$2)-1)))))</f>
        <v/>
      </c>
      <c r="U110" t="str">
        <f>TRIM(CLEAN(IF(ISERROR(FIND(U$2,Mail!$A108)),"",MID(Mail!$A108,FIND(U$2,Mail!$A108)+LEN(U$2)+1,IF(ISERROR(FIND("■",Mail!$A108,FIND(U$2,Mail!$A108)+LEN(U$2))-FIND(U$2,Mail!$A108)-LEN(U$2)),LEN(Mail!$A108)-60-FIND(U$2,Mail!$A108)-LEN(U$2),FIND("■",Mail!$A108,FIND(U$2,Mail!$A108)+LEN(U$2))-FIND(U$2,Mail!$A108)-LEN(U$2)-1)))))</f>
        <v/>
      </c>
      <c r="V110" t="str">
        <f>TRIM(CLEAN(IF(ISERROR(FIND(V$2,Mail!$A108)),"",MID(Mail!$A108,FIND(V$2,Mail!$A108)+LEN(V$2)+1,IF(ISERROR(FIND("■",Mail!$A108,FIND(V$2,Mail!$A108)+LEN(V$2))-FIND(V$2,Mail!$A108)-LEN(V$2)),LEN(Mail!$A108)-60-FIND(V$2,Mail!$A108)-LEN(V$2),FIND("■",Mail!$A108,FIND(V$2,Mail!$A108)+LEN(V$2))-FIND(V$2,Mail!$A108)-LEN(V$2)-1)))))</f>
        <v/>
      </c>
      <c r="W110" t="str">
        <f>TRIM(CLEAN(IF(ISERROR(FIND(W$2,Mail!$A108)),"",MID(Mail!$A108,FIND(W$2,Mail!$A108)+LEN(W$2)+1,IF(ISERROR(FIND("■",Mail!$A108,FIND(W$2,Mail!$A108)+LEN(W$2))-FIND(W$2,Mail!$A108)-LEN(W$2)),LEN(Mail!$A108)-60-FIND(W$2,Mail!$A108)-LEN(W$2),FIND("■",Mail!$A108,FIND(W$2,Mail!$A108)+LEN(W$2))-FIND(W$2,Mail!$A108)-LEN(W$2)-1)))))</f>
        <v/>
      </c>
      <c r="X110" t="str">
        <f>TRIM(IF(ISERROR(FIND(X$2,Mail!$A108)),"",MID(Mail!$A108,FIND(X$2,Mail!$A108)+LEN(X$2)+1,IF(ISERROR(FIND("■",Mail!$A108,FIND(X$2,Mail!$A108)+LEN(X$2))-FIND(X$2,Mail!$A108)-LEN(X$2)),LEN(Mail!$A108)-60-FIND(X$2,Mail!$A108)-LEN(X$2),FIND("■",Mail!$A108,FIND(X$2,Mail!$A108)+LEN(X$2))-FIND(X$2,Mail!$A108)-LEN(X$2)-1))))</f>
        <v/>
      </c>
      <c r="Y110" t="str">
        <f>TRIM(CLEAN(IF(ISERROR(FIND(Y$2,Mail!$A108)),"",MID(Mail!$A108,FIND(Y$2,Mail!$A108)+LEN(Y$2)+1,IF(ISERROR(FIND("■",Mail!$A108,FIND(Y$2,Mail!$A108)+LEN(Y$2))-FIND(Y$2,Mail!$A108)-LEN(Y$2)),LEN(Mail!$A108)-60-FIND(Y$2,Mail!$A108)-LEN(Y$2),FIND("■",Mail!$A108,FIND(Y$2,Mail!$A108)+LEN(Y$2))-FIND(Y$2,Mail!$A108)-LEN(Y$2)-1)))))</f>
        <v/>
      </c>
      <c r="Z110" t="str">
        <f>TRIM(CLEAN(IF(ISERROR(FIND(Z$2,Mail!$A108)),"",MID(Mail!$A108,FIND(Z$2,Mail!$A108)+LEN(Z$2)+1,IF(ISERROR(FIND("■",Mail!$A108,FIND(Z$2,Mail!$A108)+LEN(Z$2))-FIND(Z$2,Mail!$A108)-LEN(Z$2)),LEN(Mail!$A108)-60-FIND(Z$2,Mail!$A108)-LEN(Z$2),FIND("■",Mail!$A108,FIND(Z$2,Mail!$A108)+LEN(Z$2))-FIND(Z$2,Mail!$A108)-LEN(Z$2)-1)))))</f>
        <v/>
      </c>
      <c r="AA110" t="str">
        <f>TRIM(CLEAN(IF(ISERROR(FIND(AA$2,Mail!$A108)),"",MID(Mail!$A108,FIND(AA$2,Mail!$A108)+LEN(AA$2)+1,IF(ISERROR(FIND("■",Mail!$A108,FIND(AA$2,Mail!$A108)+LEN(AA$2))-FIND(AA$2,Mail!$A108)-LEN(AA$2)),LEN(Mail!$A108)-60-FIND(AA$2,Mail!$A108)-LEN(AA$2),FIND("■",Mail!$A108,FIND(AA$2,Mail!$A108)+LEN(AA$2))-FIND(AA$2,Mail!$A108)-LEN(AA$2)-1)))))</f>
        <v/>
      </c>
      <c r="AB110" t="str">
        <f>TRIM(CLEAN(IF(ISERROR(FIND(AB$2,Mail!$A108)),"",MID(Mail!$A108,FIND(AB$2,Mail!$A108)+LEN(AB$2)+1,IF(ISERROR(FIND("■",Mail!$A108,FIND(AB$2,Mail!$A108)+LEN(AB$2))-FIND(AB$2,Mail!$A108)-LEN(AB$2)),LEN(Mail!$A108)-60-FIND(AB$2,Mail!$A108)-LEN(AB$2),FIND("■",Mail!$A108,FIND(AB$2,Mail!$A108)+LEN(AB$2))-FIND(AB$2,Mail!$A108)-LEN(AB$2)-1)))))</f>
        <v/>
      </c>
      <c r="AC110" s="8" t="str">
        <f>TRIM(CLEAN(IF(ISERROR(FIND(AC$2,Mail!$A108)),"",MID(Mail!$A108,FIND(AC$2,Mail!$A108)+LEN(AC$2)+1,IF(ISERROR(FIND("■",Mail!$A108,FIND(AC$2,Mail!$A108)+LEN(AC$2))-FIND(AC$2,Mail!$A108)-LEN(AC$2)),LEN(Mail!$A108)-60-FIND(AC$2,Mail!$A108)-LEN(AC$2),FIND("■",Mail!$A108,FIND(AC$2,Mail!$A108)+LEN(AC$2))-FIND(AC$2,Mail!$A108)-LEN(AC$2)-1)))))</f>
        <v/>
      </c>
      <c r="AD110" t="str">
        <f>TRIM(CLEAN(IF(ISERROR(FIND(AD$2,Mail!$A108)),"",MID(Mail!$A108,FIND(AD$2,Mail!$A108)+LEN(AD$2)+1,IF(ISERROR(FIND("■",Mail!$A108,FIND(AD$2,Mail!$A108)+LEN(AD$2))-FIND(AD$2,Mail!$A108)-LEN(AD$2)),LEN(Mail!$A108)-60-FIND(AD$2,Mail!$A108)-LEN(AD$2),FIND("■",Mail!$A108,FIND(AD$2,Mail!$A108)+LEN(AD$2))-FIND(AD$2,Mail!$A108)-LEN(AD$2)-1)))))</f>
        <v/>
      </c>
      <c r="AE110" t="str">
        <f>TRIM(CLEAN(IF(ISERROR(FIND(AE$2,Mail!$A108)),"",MID(Mail!$A108,FIND(AE$2,Mail!$A108)+LEN(AE$2)+1,IF(ISERROR(FIND("■",Mail!$A108,FIND(AE$2,Mail!$A108)+LEN(AE$2))-FIND(AE$2,Mail!$A108)-LEN(AE$2)),LEN(Mail!$A108)-60-FIND(AE$2,Mail!$A108)-LEN(AE$2),FIND("■",Mail!$A108,FIND(AE$2,Mail!$A108)+LEN(AE$2))-FIND(AE$2,Mail!$A108)-LEN(AE$2)-1)))))</f>
        <v/>
      </c>
      <c r="AF110" t="str">
        <f>TRIM(CLEAN(IF(ISERROR(FIND(AF$2,Mail!$A108)),"",MID(Mail!$A108,FIND(AF$2,Mail!$A108)+LEN(AF$2)+1,IF(ISERROR(FIND("■",Mail!$A108,FIND(AF$2,Mail!$A108)+LEN(AF$2))-FIND(AF$2,Mail!$A108)-LEN(AF$2)),LEN(Mail!$A108)-60-FIND(AF$2,Mail!$A108)-LEN(AF$2),FIND("■",Mail!$A108,FIND(AF$2,Mail!$A108)+LEN(AF$2))-FIND(AF$2,Mail!$A108)-LEN(AF$2)-1)))))</f>
        <v/>
      </c>
      <c r="AG110" t="str">
        <f>TRIM(IF(ISERROR(FIND(AG$2,Mail!$A108)),"",MID(Mail!$A108,FIND(AG$2,Mail!$A108)+LEN(AG$2)+1,IF(ISERROR(FIND("■",Mail!$A108,FIND(AG$2,Mail!$A108)+LEN(AG$2))-FIND(AG$2,Mail!$A108)-LEN(AG$2)),LEN(Mail!$A108)-60-FIND(AG$2,Mail!$A108)-LEN(AG$2),FIND("■",Mail!$A108,FIND(AG$2,Mail!$A108)+LEN(AG$2))-FIND(AG$2,Mail!$A108)-LEN(AG$2)-1))))</f>
        <v/>
      </c>
      <c r="AH110" t="str">
        <f>TRIM(IF(ISERROR(FIND(AH$2,Mail!$A108)),"",MID(Mail!$A108,FIND(AH$2,Mail!$A108)+LEN(AH$2)+1,IF(ISERROR(FIND("■",Mail!$A108,FIND(AH$2,Mail!$A108)+LEN(AH$2))-FIND(AH$2,Mail!$A108)-LEN(AH$2)),LEN(Mail!$A108)-60-FIND(AH$2,Mail!$A108)-LEN(AH$2),FIND("■",Mail!$A108,FIND(AH$2,Mail!$A108)+LEN(AH$2))-FIND(AH$2,Mail!$A108)-LEN(AH$2)-1))))</f>
        <v/>
      </c>
      <c r="AI110" t="str">
        <f>TRIM(IF(ISERROR(FIND(AI$2,Mail!$A108)),"",MID(Mail!$A108,FIND(AI$2,Mail!$A108)+LEN(AI$2)+1,IF(ISERROR(FIND("■",Mail!$A108,FIND(AI$2,Mail!$A108)+LEN(AI$2))-FIND(AI$2,Mail!$A108)-LEN(AI$2)),LEN(Mail!$A108)-60-FIND(AI$2,Mail!$A108)-LEN(AI$2),FIND("■",Mail!$A108,FIND(AI$2,Mail!$A108)+LEN(AI$2))-FIND(AI$2,Mail!$A108)-LEN(AI$2)-1))))</f>
        <v/>
      </c>
    </row>
    <row r="111" spans="1:35" x14ac:dyDescent="0.15">
      <c r="A111" s="9" t="str">
        <f t="shared" si="6"/>
        <v/>
      </c>
      <c r="B111" s="8" t="str">
        <f>CLEAN(SUBSTITUTE(IF(ISERROR(FIND("yokohama",Mail!$A109)),"",MID(Mail!$A109,FIND("yokohama",Mail!$A109)+LEN("yokohama")+1,FIND("件目",Mail!$A109,FIND("yokohama",Mail!$A109))-(FIND("yokohama",Mail!$A109)+LEN("yokohama")+1)))," ",""))</f>
        <v/>
      </c>
      <c r="C111" s="2" t="str">
        <f t="shared" si="9"/>
        <v/>
      </c>
      <c r="D111" s="9" t="str">
        <f t="shared" si="7"/>
        <v/>
      </c>
      <c r="E111" s="8" t="str">
        <f t="shared" si="8"/>
        <v/>
      </c>
      <c r="F111" t="str">
        <f>TRIM(CLEAN(IF(ISERROR(FIND(F$2,Mail!$A109)),"",MID(Mail!$A109,FIND(F$2,Mail!$A109)+LEN(F$2)+1,IF(ISERROR(FIND("■",Mail!$A109,FIND(F$2,Mail!$A109)+LEN(F$2))-FIND(F$2,Mail!$A109)-LEN(F$2)),LEN(Mail!$A109)-60-FIND(F$2,Mail!$A109)-LEN(F$2),FIND("■",Mail!$A109,FIND(F$2,Mail!$A109)+LEN(F$2))-FIND(F$2,Mail!$A109)-LEN(F$2)-1)))))</f>
        <v/>
      </c>
      <c r="G111" t="str">
        <f>TRIM(CLEAN(IF(ISERROR(FIND(G$2,Mail!$A109)),"",MID(Mail!$A109,FIND(G$2,Mail!$A109)+LEN(G$2)+1,IF(ISERROR(FIND("■",Mail!$A109,FIND(G$2,Mail!$A109)+LEN(G$2))-FIND(G$2,Mail!$A109)-LEN(G$2)),LEN(Mail!$A109)-60-FIND(G$2,Mail!$A109)-LEN(G$2),FIND("■",Mail!$A109,FIND(G$2,Mail!$A109)+LEN(G$2))-FIND(G$2,Mail!$A109)-LEN(G$2)-1)))))</f>
        <v/>
      </c>
      <c r="H111" s="8" t="str">
        <f>TRIM(CLEAN(IF(ISERROR(FIND(H$2,Mail!$A109)),"",MID(Mail!$A109,FIND(H$2,Mail!$A109)+LEN(H$2)+1,IF(ISERROR(FIND("■",Mail!$A109,FIND(H$2,Mail!$A109)+LEN(H$2))-FIND(H$2,Mail!$A109)-LEN(H$2)),LEN(Mail!$A109)-60-FIND(H$2,Mail!$A109)-LEN(H$2),FIND("■",Mail!$A109,FIND(H$2,Mail!$A109)+LEN(H$2))-FIND(H$2,Mail!$A109)-LEN(H$2)-1)))))</f>
        <v/>
      </c>
      <c r="I111" t="str">
        <f>TRIM(CLEAN(IF(ISERROR(FIND(I$2,Mail!$A109)),"",MID(Mail!$A109,FIND(I$2,Mail!$A109)+LEN(I$2)+1,IF(ISERROR(FIND("■",Mail!$A109,FIND(I$2,Mail!$A109)+LEN(I$2))-FIND(I$2,Mail!$A109)-LEN(I$2)),LEN(Mail!$A109)-60-FIND(I$2,Mail!$A109)-LEN(I$2),FIND("■",Mail!$A109,FIND(I$2,Mail!$A109)+LEN(I$2))-FIND(I$2,Mail!$A109)-LEN(I$2)-1)))))</f>
        <v/>
      </c>
      <c r="J111" t="str">
        <f>TRIM(IF(ISERROR(FIND(J$2,Mail!$A109)),"",MID(Mail!$A109,FIND(J$2,Mail!$A109)+LEN(J$2)+1,IF(ISERROR(FIND("■",Mail!$A109,FIND(J$2,Mail!$A109)+LEN(J$2))-FIND(J$2,Mail!$A109)-LEN(J$2)),LEN(Mail!$A109)-60-FIND(J$2,Mail!$A109)-LEN(J$2),FIND("■",Mail!$A109,FIND(J$2,Mail!$A109)+LEN(J$2))-FIND(J$2,Mail!$A109)-LEN(J$2)-1))))</f>
        <v/>
      </c>
      <c r="K111" t="str">
        <f>TRIM(IF(ISERROR(FIND(K$2,Mail!$A109)),"",MID(Mail!$A109,FIND(K$2,Mail!$A109)+LEN(K$2)+1,IF(ISERROR(FIND("■",Mail!$A109,FIND(K$2,Mail!$A109)+LEN(K$2))-FIND(K$2,Mail!$A109)-LEN(K$2)),LEN(Mail!$A109)-60-FIND(K$2,Mail!$A109)-LEN(K$2),FIND("■",Mail!$A109,FIND(K$2,Mail!$A109)+LEN(K$2))-FIND(K$2,Mail!$A109)-LEN(K$2)-1))))</f>
        <v/>
      </c>
      <c r="L111" t="str">
        <f>TRIM(IF(ISERROR(FIND(L$2,Mail!$A109)),"",MID(Mail!$A109,FIND(L$2,Mail!$A109)+LEN(L$2)+1,IF(ISERROR(FIND("■",Mail!$A109,FIND(L$2,Mail!$A109)+LEN(L$2))-FIND(L$2,Mail!$A109)-LEN(L$2)),LEN(Mail!$A109)-60-FIND(L$2,Mail!$A109)-LEN(L$2),FIND("■",Mail!$A109,FIND(L$2,Mail!$A109)+LEN(L$2))-FIND(L$2,Mail!$A109)-LEN(L$2)-1))))</f>
        <v/>
      </c>
      <c r="M111" t="str">
        <f>TRIM(CLEAN(IF(ISERROR(FIND(M$2,Mail!$A109)),"",MID(Mail!$A109,FIND(M$2,Mail!$A109)+LEN(M$2)+1,IF(ISERROR(FIND("■",Mail!$A109,FIND(M$2,Mail!$A109)+LEN(M$2))-FIND(M$2,Mail!$A109)-LEN(M$2)),LEN(Mail!$A109)-60-FIND(M$2,Mail!$A109)-LEN(M$2),FIND("■",Mail!$A109,FIND(M$2,Mail!$A109)+LEN(M$2))-FIND(M$2,Mail!$A109)-LEN(M$2)-1)))))</f>
        <v/>
      </c>
      <c r="N111" t="str">
        <f>TRIM(CLEAN(IF(ISERROR(FIND(N$2,Mail!$A109)),"",MID(Mail!$A109,FIND(N$2,Mail!$A109)+LEN(N$2)+1,IF(ISERROR(FIND("■",Mail!$A109,FIND(N$2,Mail!$A109)+LEN(N$2))-FIND(N$2,Mail!$A109)-LEN(N$2)),LEN(Mail!$A109)-60-FIND(N$2,Mail!$A109)-LEN(N$2),FIND("■",Mail!$A109,FIND(N$2,Mail!$A109)+LEN(N$2))-FIND(N$2,Mail!$A109)-LEN(N$2)-1)))))</f>
        <v/>
      </c>
      <c r="O111" t="str">
        <f>TRIM(CLEAN(IF(ISERROR(FIND(O$2,Mail!$A109)),"",MID(Mail!$A109,FIND(O$2,Mail!$A109)+LEN(O$2)+1,IF(ISERROR(FIND("■",Mail!$A109,FIND(O$2,Mail!$A109)+LEN(O$2))-FIND(O$2,Mail!$A109)-LEN(O$2)),LEN(Mail!$A109)-60-FIND(O$2,Mail!$A109)-LEN(O$2),FIND("■",Mail!$A109,FIND(O$2,Mail!$A109)+LEN(O$2))-FIND(O$2,Mail!$A109)-LEN(O$2)-1)))))</f>
        <v/>
      </c>
      <c r="P111" t="str">
        <f>TRIM(CLEAN(IF(ISERROR(FIND(P$2,Mail!$A109)),"",MID(Mail!$A109,FIND(P$2,Mail!$A109)+LEN(P$2)+1,IF(ISERROR(FIND("■",Mail!$A109,FIND(P$2,Mail!$A109)+LEN(P$2))-FIND(P$2,Mail!$A109)-LEN(P$2)),LEN(Mail!$A109)-60-FIND(P$2,Mail!$A109)-LEN(P$2),FIND("■",Mail!$A109,FIND(P$2,Mail!$A109)+LEN(P$2))-FIND(P$2,Mail!$A109)-LEN(P$2)-1)))))</f>
        <v/>
      </c>
      <c r="Q111" t="str">
        <f>TRIM(CLEAN(IF(ISERROR(FIND(Q$2,Mail!$A109)),"",MID(Mail!$A109,FIND(Q$2,Mail!$A109)+LEN(Q$2)+1,IF(ISERROR(FIND("■",Mail!$A109,FIND(Q$2,Mail!$A109)+LEN(Q$2))-FIND(Q$2,Mail!$A109)-LEN(Q$2)),LEN(Mail!$A109)-60-FIND(Q$2,Mail!$A109)-LEN(Q$2),FIND("■",Mail!$A109,FIND(Q$2,Mail!$A109)+LEN(Q$2))-FIND(Q$2,Mail!$A109)-LEN(Q$2)-1)))))</f>
        <v/>
      </c>
      <c r="R111" s="8" t="str">
        <f>TRIM(CLEAN(IF(ISERROR(FIND(R$2,Mail!$A109)),"",MID(Mail!$A109,FIND(R$2,Mail!$A109)+LEN(R$2)+1,IF(ISERROR(FIND("■",Mail!$A109,FIND(R$2,Mail!$A109)+LEN(R$2))-FIND(R$2,Mail!$A109)-LEN(R$2)),LEN(Mail!$A109)-60-FIND(R$2,Mail!$A109)-LEN(R$2),FIND("■",Mail!$A109,FIND(R$2,Mail!$A109)+LEN(R$2))-FIND(R$2,Mail!$A109)-LEN(R$2)-1)))))</f>
        <v/>
      </c>
      <c r="S111" t="str">
        <f>TRIM(CLEAN(IF(ISERROR(FIND(S$2,Mail!$A109)),"",MID(Mail!$A109,FIND(S$2,Mail!$A109)+LEN(S$2)+1,IF(ISERROR(FIND("■",Mail!$A109,FIND(S$2,Mail!$A109)+LEN(S$2))-FIND(S$2,Mail!$A109)-LEN(S$2)),LEN(Mail!$A109)-60-FIND(S$2,Mail!$A109)-LEN(S$2),FIND("■",Mail!$A109,FIND(S$2,Mail!$A109)+LEN(S$2))-FIND(S$2,Mail!$A109)-LEN(S$2)-1)))))</f>
        <v/>
      </c>
      <c r="T111" t="str">
        <f>TRIM(CLEAN(IF(ISERROR(FIND(T$2,Mail!$A109)),"",MID(Mail!$A109,FIND(T$2,Mail!$A109)+LEN(T$2)+1,IF(ISERROR(FIND("■",Mail!$A109,FIND(T$2,Mail!$A109)+LEN(T$2))-FIND(T$2,Mail!$A109)-LEN(T$2)),LEN(Mail!$A109)-60-FIND(T$2,Mail!$A109)-LEN(T$2),FIND("■",Mail!$A109,FIND(T$2,Mail!$A109)+LEN(T$2))-FIND(T$2,Mail!$A109)-LEN(T$2)-1)))))</f>
        <v/>
      </c>
      <c r="U111" t="str">
        <f>TRIM(CLEAN(IF(ISERROR(FIND(U$2,Mail!$A109)),"",MID(Mail!$A109,FIND(U$2,Mail!$A109)+LEN(U$2)+1,IF(ISERROR(FIND("■",Mail!$A109,FIND(U$2,Mail!$A109)+LEN(U$2))-FIND(U$2,Mail!$A109)-LEN(U$2)),LEN(Mail!$A109)-60-FIND(U$2,Mail!$A109)-LEN(U$2),FIND("■",Mail!$A109,FIND(U$2,Mail!$A109)+LEN(U$2))-FIND(U$2,Mail!$A109)-LEN(U$2)-1)))))</f>
        <v/>
      </c>
      <c r="V111" t="str">
        <f>TRIM(CLEAN(IF(ISERROR(FIND(V$2,Mail!$A109)),"",MID(Mail!$A109,FIND(V$2,Mail!$A109)+LEN(V$2)+1,IF(ISERROR(FIND("■",Mail!$A109,FIND(V$2,Mail!$A109)+LEN(V$2))-FIND(V$2,Mail!$A109)-LEN(V$2)),LEN(Mail!$A109)-60-FIND(V$2,Mail!$A109)-LEN(V$2),FIND("■",Mail!$A109,FIND(V$2,Mail!$A109)+LEN(V$2))-FIND(V$2,Mail!$A109)-LEN(V$2)-1)))))</f>
        <v/>
      </c>
      <c r="W111" t="str">
        <f>TRIM(CLEAN(IF(ISERROR(FIND(W$2,Mail!$A109)),"",MID(Mail!$A109,FIND(W$2,Mail!$A109)+LEN(W$2)+1,IF(ISERROR(FIND("■",Mail!$A109,FIND(W$2,Mail!$A109)+LEN(W$2))-FIND(W$2,Mail!$A109)-LEN(W$2)),LEN(Mail!$A109)-60-FIND(W$2,Mail!$A109)-LEN(W$2),FIND("■",Mail!$A109,FIND(W$2,Mail!$A109)+LEN(W$2))-FIND(W$2,Mail!$A109)-LEN(W$2)-1)))))</f>
        <v/>
      </c>
      <c r="X111" t="str">
        <f>TRIM(IF(ISERROR(FIND(X$2,Mail!$A109)),"",MID(Mail!$A109,FIND(X$2,Mail!$A109)+LEN(X$2)+1,IF(ISERROR(FIND("■",Mail!$A109,FIND(X$2,Mail!$A109)+LEN(X$2))-FIND(X$2,Mail!$A109)-LEN(X$2)),LEN(Mail!$A109)-60-FIND(X$2,Mail!$A109)-LEN(X$2),FIND("■",Mail!$A109,FIND(X$2,Mail!$A109)+LEN(X$2))-FIND(X$2,Mail!$A109)-LEN(X$2)-1))))</f>
        <v/>
      </c>
      <c r="Y111" t="str">
        <f>TRIM(CLEAN(IF(ISERROR(FIND(Y$2,Mail!$A109)),"",MID(Mail!$A109,FIND(Y$2,Mail!$A109)+LEN(Y$2)+1,IF(ISERROR(FIND("■",Mail!$A109,FIND(Y$2,Mail!$A109)+LEN(Y$2))-FIND(Y$2,Mail!$A109)-LEN(Y$2)),LEN(Mail!$A109)-60-FIND(Y$2,Mail!$A109)-LEN(Y$2),FIND("■",Mail!$A109,FIND(Y$2,Mail!$A109)+LEN(Y$2))-FIND(Y$2,Mail!$A109)-LEN(Y$2)-1)))))</f>
        <v/>
      </c>
      <c r="Z111" t="str">
        <f>TRIM(CLEAN(IF(ISERROR(FIND(Z$2,Mail!$A109)),"",MID(Mail!$A109,FIND(Z$2,Mail!$A109)+LEN(Z$2)+1,IF(ISERROR(FIND("■",Mail!$A109,FIND(Z$2,Mail!$A109)+LEN(Z$2))-FIND(Z$2,Mail!$A109)-LEN(Z$2)),LEN(Mail!$A109)-60-FIND(Z$2,Mail!$A109)-LEN(Z$2),FIND("■",Mail!$A109,FIND(Z$2,Mail!$A109)+LEN(Z$2))-FIND(Z$2,Mail!$A109)-LEN(Z$2)-1)))))</f>
        <v/>
      </c>
      <c r="AA111" t="str">
        <f>TRIM(CLEAN(IF(ISERROR(FIND(AA$2,Mail!$A109)),"",MID(Mail!$A109,FIND(AA$2,Mail!$A109)+LEN(AA$2)+1,IF(ISERROR(FIND("■",Mail!$A109,FIND(AA$2,Mail!$A109)+LEN(AA$2))-FIND(AA$2,Mail!$A109)-LEN(AA$2)),LEN(Mail!$A109)-60-FIND(AA$2,Mail!$A109)-LEN(AA$2),FIND("■",Mail!$A109,FIND(AA$2,Mail!$A109)+LEN(AA$2))-FIND(AA$2,Mail!$A109)-LEN(AA$2)-1)))))</f>
        <v/>
      </c>
      <c r="AB111" t="str">
        <f>TRIM(CLEAN(IF(ISERROR(FIND(AB$2,Mail!$A109)),"",MID(Mail!$A109,FIND(AB$2,Mail!$A109)+LEN(AB$2)+1,IF(ISERROR(FIND("■",Mail!$A109,FIND(AB$2,Mail!$A109)+LEN(AB$2))-FIND(AB$2,Mail!$A109)-LEN(AB$2)),LEN(Mail!$A109)-60-FIND(AB$2,Mail!$A109)-LEN(AB$2),FIND("■",Mail!$A109,FIND(AB$2,Mail!$A109)+LEN(AB$2))-FIND(AB$2,Mail!$A109)-LEN(AB$2)-1)))))</f>
        <v/>
      </c>
      <c r="AC111" s="8" t="str">
        <f>TRIM(CLEAN(IF(ISERROR(FIND(AC$2,Mail!$A109)),"",MID(Mail!$A109,FIND(AC$2,Mail!$A109)+LEN(AC$2)+1,IF(ISERROR(FIND("■",Mail!$A109,FIND(AC$2,Mail!$A109)+LEN(AC$2))-FIND(AC$2,Mail!$A109)-LEN(AC$2)),LEN(Mail!$A109)-60-FIND(AC$2,Mail!$A109)-LEN(AC$2),FIND("■",Mail!$A109,FIND(AC$2,Mail!$A109)+LEN(AC$2))-FIND(AC$2,Mail!$A109)-LEN(AC$2)-1)))))</f>
        <v/>
      </c>
      <c r="AD111" t="str">
        <f>TRIM(CLEAN(IF(ISERROR(FIND(AD$2,Mail!$A109)),"",MID(Mail!$A109,FIND(AD$2,Mail!$A109)+LEN(AD$2)+1,IF(ISERROR(FIND("■",Mail!$A109,FIND(AD$2,Mail!$A109)+LEN(AD$2))-FIND(AD$2,Mail!$A109)-LEN(AD$2)),LEN(Mail!$A109)-60-FIND(AD$2,Mail!$A109)-LEN(AD$2),FIND("■",Mail!$A109,FIND(AD$2,Mail!$A109)+LEN(AD$2))-FIND(AD$2,Mail!$A109)-LEN(AD$2)-1)))))</f>
        <v/>
      </c>
      <c r="AE111" t="str">
        <f>TRIM(CLEAN(IF(ISERROR(FIND(AE$2,Mail!$A109)),"",MID(Mail!$A109,FIND(AE$2,Mail!$A109)+LEN(AE$2)+1,IF(ISERROR(FIND("■",Mail!$A109,FIND(AE$2,Mail!$A109)+LEN(AE$2))-FIND(AE$2,Mail!$A109)-LEN(AE$2)),LEN(Mail!$A109)-60-FIND(AE$2,Mail!$A109)-LEN(AE$2),FIND("■",Mail!$A109,FIND(AE$2,Mail!$A109)+LEN(AE$2))-FIND(AE$2,Mail!$A109)-LEN(AE$2)-1)))))</f>
        <v/>
      </c>
      <c r="AF111" t="str">
        <f>TRIM(CLEAN(IF(ISERROR(FIND(AF$2,Mail!$A109)),"",MID(Mail!$A109,FIND(AF$2,Mail!$A109)+LEN(AF$2)+1,IF(ISERROR(FIND("■",Mail!$A109,FIND(AF$2,Mail!$A109)+LEN(AF$2))-FIND(AF$2,Mail!$A109)-LEN(AF$2)),LEN(Mail!$A109)-60-FIND(AF$2,Mail!$A109)-LEN(AF$2),FIND("■",Mail!$A109,FIND(AF$2,Mail!$A109)+LEN(AF$2))-FIND(AF$2,Mail!$A109)-LEN(AF$2)-1)))))</f>
        <v/>
      </c>
      <c r="AG111" t="str">
        <f>TRIM(IF(ISERROR(FIND(AG$2,Mail!$A109)),"",MID(Mail!$A109,FIND(AG$2,Mail!$A109)+LEN(AG$2)+1,IF(ISERROR(FIND("■",Mail!$A109,FIND(AG$2,Mail!$A109)+LEN(AG$2))-FIND(AG$2,Mail!$A109)-LEN(AG$2)),LEN(Mail!$A109)-60-FIND(AG$2,Mail!$A109)-LEN(AG$2),FIND("■",Mail!$A109,FIND(AG$2,Mail!$A109)+LEN(AG$2))-FIND(AG$2,Mail!$A109)-LEN(AG$2)-1))))</f>
        <v/>
      </c>
      <c r="AH111" t="str">
        <f>TRIM(IF(ISERROR(FIND(AH$2,Mail!$A109)),"",MID(Mail!$A109,FIND(AH$2,Mail!$A109)+LEN(AH$2)+1,IF(ISERROR(FIND("■",Mail!$A109,FIND(AH$2,Mail!$A109)+LEN(AH$2))-FIND(AH$2,Mail!$A109)-LEN(AH$2)),LEN(Mail!$A109)-60-FIND(AH$2,Mail!$A109)-LEN(AH$2),FIND("■",Mail!$A109,FIND(AH$2,Mail!$A109)+LEN(AH$2))-FIND(AH$2,Mail!$A109)-LEN(AH$2)-1))))</f>
        <v/>
      </c>
      <c r="AI111" t="str">
        <f>TRIM(IF(ISERROR(FIND(AI$2,Mail!$A109)),"",MID(Mail!$A109,FIND(AI$2,Mail!$A109)+LEN(AI$2)+1,IF(ISERROR(FIND("■",Mail!$A109,FIND(AI$2,Mail!$A109)+LEN(AI$2))-FIND(AI$2,Mail!$A109)-LEN(AI$2)),LEN(Mail!$A109)-60-FIND(AI$2,Mail!$A109)-LEN(AI$2),FIND("■",Mail!$A109,FIND(AI$2,Mail!$A109)+LEN(AI$2))-FIND(AI$2,Mail!$A109)-LEN(AI$2)-1))))</f>
        <v/>
      </c>
    </row>
    <row r="112" spans="1:35" x14ac:dyDescent="0.15">
      <c r="R112" s="8"/>
    </row>
    <row r="113" spans="18:18" x14ac:dyDescent="0.15">
      <c r="R113" s="8"/>
    </row>
    <row r="114" spans="18:18" x14ac:dyDescent="0.15">
      <c r="R114" s="8"/>
    </row>
  </sheetData>
  <phoneticPr fontId="1"/>
  <pageMargins left="0.7" right="0.7" top="0.75" bottom="0.75" header="0.3" footer="0.3"/>
  <pageSetup paperSize="9" orientation="portrait" r:id="rId1"/>
  <ignoredErrors>
    <ignoredError sqref="X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ConvertDoc">
                <anchor moveWithCells="1" sizeWithCells="1">
                  <from>
                    <xdr:col>0</xdr:col>
                    <xdr:colOff>95250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1026" r:id="rId5" name="Button 2">
              <controlPr defaultSize="0" print="0" autoFill="0" autoPict="0" macro="[0]!TestGetMapImgFile">
                <anchor moveWithCells="1" sizeWithCells="1">
                  <from>
                    <xdr:col>0</xdr:col>
                    <xdr:colOff>304800</xdr:colOff>
                    <xdr:row>6</xdr:row>
                    <xdr:rowOff>57150</xdr:rowOff>
                  </from>
                  <to>
                    <xdr:col>1</xdr:col>
                    <xdr:colOff>752475</xdr:colOff>
                    <xdr:row>8</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2"/>
  <sheetViews>
    <sheetView topLeftCell="A130" workbookViewId="0">
      <selection activeCell="A152" sqref="A152"/>
    </sheetView>
  </sheetViews>
  <sheetFormatPr defaultColWidth="8.75" defaultRowHeight="12.75" x14ac:dyDescent="0.2"/>
  <cols>
    <col min="1" max="1" width="2.75" style="7" customWidth="1"/>
    <col min="2" max="2" width="6.125" style="6" customWidth="1"/>
    <col min="3" max="3" width="16.125" style="6" customWidth="1"/>
    <col min="4" max="16384" width="8.75" style="6"/>
  </cols>
  <sheetData>
    <row r="1" spans="1:9" ht="13.5" x14ac:dyDescent="0.2">
      <c r="A1" s="3" t="s">
        <v>52</v>
      </c>
      <c r="B1" s="4" t="s">
        <v>53</v>
      </c>
      <c r="C1" s="5" t="s">
        <v>272</v>
      </c>
    </row>
    <row r="2" spans="1:9" ht="13.5" x14ac:dyDescent="0.2">
      <c r="A2" s="3" t="s">
        <v>54</v>
      </c>
      <c r="B2" s="4" t="s">
        <v>55</v>
      </c>
      <c r="C2" s="6" t="str">
        <f>IF(C1="","",INDEX($B$1:$B$152,SUMPRODUCT(EXACT($A$1:$A$152,LEFT(C1,1))*ROW($B$1:$B$152)))&amp;INDEX($B$1:$B$152,SUMPRODUCT(EXACT($A$1:$A$152,LEFT(RIGHT(C1,9),2))*ROW($B$1:$B$152)))&amp;INDEX($B$1:$B$152,SUMPRODUCT(EXACT($A$1:$A$152,LEFT(RIGHT(C1,7),2))*ROW($B$1:$B$152))))</f>
        <v>1ShXtkY3A918</v>
      </c>
    </row>
    <row r="3" spans="1:9" ht="13.5" x14ac:dyDescent="0.2">
      <c r="A3" s="3" t="s">
        <v>56</v>
      </c>
      <c r="B3" s="4" t="s">
        <v>57</v>
      </c>
      <c r="I3" s="6" t="str">
        <f>LEFT(RIGHT(C1,7),2)</f>
        <v>01</v>
      </c>
    </row>
    <row r="4" spans="1:9" ht="13.5" x14ac:dyDescent="0.2">
      <c r="A4" s="3" t="s">
        <v>58</v>
      </c>
      <c r="B4" s="4" t="s">
        <v>59</v>
      </c>
    </row>
    <row r="5" spans="1:9" ht="13.5" x14ac:dyDescent="0.2">
      <c r="A5" s="3" t="s">
        <v>60</v>
      </c>
      <c r="B5" s="4" t="s">
        <v>61</v>
      </c>
    </row>
    <row r="6" spans="1:9" ht="13.5" x14ac:dyDescent="0.2">
      <c r="A6" s="3" t="s">
        <v>62</v>
      </c>
      <c r="B6" s="4" t="s">
        <v>63</v>
      </c>
    </row>
    <row r="7" spans="1:9" ht="13.5" x14ac:dyDescent="0.2">
      <c r="A7" s="3" t="s">
        <v>64</v>
      </c>
      <c r="B7" s="4" t="s">
        <v>65</v>
      </c>
    </row>
    <row r="8" spans="1:9" ht="13.5" x14ac:dyDescent="0.2">
      <c r="A8" s="3" t="s">
        <v>66</v>
      </c>
      <c r="B8" s="4" t="s">
        <v>67</v>
      </c>
    </row>
    <row r="9" spans="1:9" ht="13.5" x14ac:dyDescent="0.2">
      <c r="A9" s="3" t="s">
        <v>68</v>
      </c>
      <c r="B9" s="4" t="s">
        <v>69</v>
      </c>
    </row>
    <row r="10" spans="1:9" ht="13.5" x14ac:dyDescent="0.2">
      <c r="A10" s="3" t="s">
        <v>70</v>
      </c>
      <c r="B10" s="4" t="s">
        <v>71</v>
      </c>
    </row>
    <row r="11" spans="1:9" ht="13.5" x14ac:dyDescent="0.2">
      <c r="A11" s="3" t="s">
        <v>72</v>
      </c>
      <c r="B11" s="4" t="s">
        <v>73</v>
      </c>
    </row>
    <row r="12" spans="1:9" ht="13.5" x14ac:dyDescent="0.2">
      <c r="A12" s="3" t="s">
        <v>74</v>
      </c>
      <c r="B12" s="4" t="s">
        <v>75</v>
      </c>
    </row>
    <row r="13" spans="1:9" ht="13.5" x14ac:dyDescent="0.2">
      <c r="A13" s="3" t="s">
        <v>76</v>
      </c>
      <c r="B13" s="4" t="s">
        <v>77</v>
      </c>
    </row>
    <row r="14" spans="1:9" ht="13.5" x14ac:dyDescent="0.2">
      <c r="A14" s="3" t="s">
        <v>78</v>
      </c>
      <c r="B14" s="4" t="s">
        <v>79</v>
      </c>
    </row>
    <row r="15" spans="1:9" ht="13.5" x14ac:dyDescent="0.2">
      <c r="A15" s="3" t="s">
        <v>80</v>
      </c>
      <c r="B15" s="4" t="s">
        <v>81</v>
      </c>
    </row>
    <row r="16" spans="1:9" ht="13.5" x14ac:dyDescent="0.2">
      <c r="A16" s="3" t="s">
        <v>82</v>
      </c>
      <c r="B16" s="4" t="s">
        <v>83</v>
      </c>
    </row>
    <row r="17" spans="1:2" ht="13.5" x14ac:dyDescent="0.2">
      <c r="A17" s="3" t="s">
        <v>84</v>
      </c>
      <c r="B17" s="4" t="s">
        <v>85</v>
      </c>
    </row>
    <row r="18" spans="1:2" ht="13.5" x14ac:dyDescent="0.2">
      <c r="A18" s="3" t="s">
        <v>86</v>
      </c>
      <c r="B18" s="4" t="s">
        <v>87</v>
      </c>
    </row>
    <row r="19" spans="1:2" ht="13.5" x14ac:dyDescent="0.2">
      <c r="A19" s="3" t="s">
        <v>88</v>
      </c>
      <c r="B19" s="4" t="s">
        <v>89</v>
      </c>
    </row>
    <row r="20" spans="1:2" ht="13.5" x14ac:dyDescent="0.2">
      <c r="A20" s="3" t="s">
        <v>90</v>
      </c>
      <c r="B20" s="4" t="s">
        <v>91</v>
      </c>
    </row>
    <row r="21" spans="1:2" ht="13.5" x14ac:dyDescent="0.2">
      <c r="A21" s="3" t="s">
        <v>92</v>
      </c>
      <c r="B21" s="4" t="s">
        <v>93</v>
      </c>
    </row>
    <row r="22" spans="1:2" ht="13.5" x14ac:dyDescent="0.2">
      <c r="A22" s="3" t="s">
        <v>94</v>
      </c>
      <c r="B22" s="4" t="s">
        <v>95</v>
      </c>
    </row>
    <row r="23" spans="1:2" ht="13.5" x14ac:dyDescent="0.2">
      <c r="A23" s="3" t="s">
        <v>96</v>
      </c>
      <c r="B23" s="4" t="s">
        <v>97</v>
      </c>
    </row>
    <row r="24" spans="1:2" ht="13.5" x14ac:dyDescent="0.2">
      <c r="A24" s="3" t="s">
        <v>98</v>
      </c>
      <c r="B24" s="4" t="s">
        <v>99</v>
      </c>
    </row>
    <row r="25" spans="1:2" ht="13.5" x14ac:dyDescent="0.2">
      <c r="A25" s="3" t="s">
        <v>100</v>
      </c>
      <c r="B25" s="4" t="s">
        <v>101</v>
      </c>
    </row>
    <row r="26" spans="1:2" ht="13.5" x14ac:dyDescent="0.2">
      <c r="A26" s="3" t="s">
        <v>102</v>
      </c>
      <c r="B26" s="4" t="s">
        <v>103</v>
      </c>
    </row>
    <row r="27" spans="1:2" ht="13.5" x14ac:dyDescent="0.2">
      <c r="A27" s="3" t="s">
        <v>104</v>
      </c>
      <c r="B27" s="4" t="s">
        <v>105</v>
      </c>
    </row>
    <row r="28" spans="1:2" ht="13.5" x14ac:dyDescent="0.2">
      <c r="A28" s="3" t="s">
        <v>106</v>
      </c>
      <c r="B28" s="4" t="s">
        <v>107</v>
      </c>
    </row>
    <row r="29" spans="1:2" ht="13.5" x14ac:dyDescent="0.2">
      <c r="A29" s="3" t="s">
        <v>108</v>
      </c>
      <c r="B29" s="4" t="s">
        <v>109</v>
      </c>
    </row>
    <row r="30" spans="1:2" ht="13.5" x14ac:dyDescent="0.2">
      <c r="A30" s="3" t="s">
        <v>110</v>
      </c>
      <c r="B30" s="4" t="s">
        <v>111</v>
      </c>
    </row>
    <row r="31" spans="1:2" ht="13.5" x14ac:dyDescent="0.2">
      <c r="A31" s="3" t="s">
        <v>112</v>
      </c>
      <c r="B31" s="4" t="s">
        <v>113</v>
      </c>
    </row>
    <row r="32" spans="1:2" ht="13.5" x14ac:dyDescent="0.2">
      <c r="A32" s="3" t="s">
        <v>114</v>
      </c>
      <c r="B32" s="4" t="s">
        <v>115</v>
      </c>
    </row>
    <row r="33" spans="1:2" ht="13.5" x14ac:dyDescent="0.2">
      <c r="A33" s="3" t="s">
        <v>116</v>
      </c>
      <c r="B33" s="4" t="s">
        <v>117</v>
      </c>
    </row>
    <row r="34" spans="1:2" ht="13.5" x14ac:dyDescent="0.2">
      <c r="A34" s="3" t="s">
        <v>118</v>
      </c>
      <c r="B34" s="4" t="s">
        <v>119</v>
      </c>
    </row>
    <row r="35" spans="1:2" ht="13.5" x14ac:dyDescent="0.2">
      <c r="A35" s="3" t="s">
        <v>120</v>
      </c>
      <c r="B35" s="4" t="s">
        <v>121</v>
      </c>
    </row>
    <row r="36" spans="1:2" ht="13.5" x14ac:dyDescent="0.2">
      <c r="A36" s="3" t="s">
        <v>122</v>
      </c>
      <c r="B36" s="4" t="s">
        <v>123</v>
      </c>
    </row>
    <row r="37" spans="1:2" ht="13.5" x14ac:dyDescent="0.2">
      <c r="A37" s="3" t="s">
        <v>124</v>
      </c>
      <c r="B37" s="4" t="s">
        <v>125</v>
      </c>
    </row>
    <row r="38" spans="1:2" ht="13.5" x14ac:dyDescent="0.2">
      <c r="A38" s="3" t="s">
        <v>126</v>
      </c>
      <c r="B38" s="4" t="s">
        <v>127</v>
      </c>
    </row>
    <row r="39" spans="1:2" ht="13.5" x14ac:dyDescent="0.2">
      <c r="A39" s="3" t="s">
        <v>128</v>
      </c>
      <c r="B39" s="4" t="s">
        <v>129</v>
      </c>
    </row>
    <row r="40" spans="1:2" ht="13.5" x14ac:dyDescent="0.2">
      <c r="A40" s="3" t="s">
        <v>130</v>
      </c>
      <c r="B40" s="4" t="s">
        <v>131</v>
      </c>
    </row>
    <row r="41" spans="1:2" ht="13.5" x14ac:dyDescent="0.2">
      <c r="A41" s="3" t="s">
        <v>132</v>
      </c>
      <c r="B41" s="4" t="s">
        <v>133</v>
      </c>
    </row>
    <row r="42" spans="1:2" ht="13.5" x14ac:dyDescent="0.2">
      <c r="A42" s="3" t="s">
        <v>134</v>
      </c>
      <c r="B42" s="4" t="s">
        <v>135</v>
      </c>
    </row>
    <row r="43" spans="1:2" ht="13.5" x14ac:dyDescent="0.2">
      <c r="A43" s="3" t="s">
        <v>136</v>
      </c>
      <c r="B43" s="4" t="s">
        <v>137</v>
      </c>
    </row>
    <row r="44" spans="1:2" ht="13.5" x14ac:dyDescent="0.2">
      <c r="A44" s="3" t="s">
        <v>138</v>
      </c>
      <c r="B44" s="4" t="s">
        <v>139</v>
      </c>
    </row>
    <row r="45" spans="1:2" ht="13.5" x14ac:dyDescent="0.2">
      <c r="A45" s="3" t="s">
        <v>140</v>
      </c>
      <c r="B45" s="4" t="s">
        <v>141</v>
      </c>
    </row>
    <row r="46" spans="1:2" ht="13.5" x14ac:dyDescent="0.2">
      <c r="A46" s="3" t="s">
        <v>142</v>
      </c>
      <c r="B46" s="4" t="s">
        <v>143</v>
      </c>
    </row>
    <row r="47" spans="1:2" ht="13.5" x14ac:dyDescent="0.2">
      <c r="A47" s="3" t="s">
        <v>144</v>
      </c>
      <c r="B47" s="4" t="s">
        <v>145</v>
      </c>
    </row>
    <row r="48" spans="1:2" ht="13.5" x14ac:dyDescent="0.2">
      <c r="A48" s="3" t="s">
        <v>146</v>
      </c>
      <c r="B48" s="4" t="s">
        <v>147</v>
      </c>
    </row>
    <row r="49" spans="1:2" ht="13.5" x14ac:dyDescent="0.2">
      <c r="A49" s="3" t="s">
        <v>148</v>
      </c>
      <c r="B49" s="4" t="s">
        <v>149</v>
      </c>
    </row>
    <row r="50" spans="1:2" ht="13.5" x14ac:dyDescent="0.2">
      <c r="A50" s="3" t="s">
        <v>150</v>
      </c>
      <c r="B50" s="4" t="s">
        <v>151</v>
      </c>
    </row>
    <row r="51" spans="1:2" ht="13.5" x14ac:dyDescent="0.2">
      <c r="A51" s="3" t="s">
        <v>152</v>
      </c>
      <c r="B51" s="4" t="s">
        <v>153</v>
      </c>
    </row>
    <row r="52" spans="1:2" ht="13.5" x14ac:dyDescent="0.2">
      <c r="A52" s="3" t="s">
        <v>154</v>
      </c>
      <c r="B52" s="4" t="s">
        <v>155</v>
      </c>
    </row>
    <row r="53" spans="1:2" ht="13.5" x14ac:dyDescent="0.2">
      <c r="A53" s="3" t="s">
        <v>156</v>
      </c>
      <c r="B53" s="4" t="s">
        <v>157</v>
      </c>
    </row>
    <row r="54" spans="1:2" ht="13.5" x14ac:dyDescent="0.2">
      <c r="A54" s="3" t="s">
        <v>158</v>
      </c>
      <c r="B54" s="4" t="s">
        <v>159</v>
      </c>
    </row>
    <row r="55" spans="1:2" ht="13.5" x14ac:dyDescent="0.2">
      <c r="A55" s="3" t="s">
        <v>160</v>
      </c>
      <c r="B55" s="4" t="s">
        <v>161</v>
      </c>
    </row>
    <row r="56" spans="1:2" ht="13.5" x14ac:dyDescent="0.2">
      <c r="A56" s="3" t="s">
        <v>162</v>
      </c>
      <c r="B56" s="4" t="s">
        <v>163</v>
      </c>
    </row>
    <row r="57" spans="1:2" ht="13.5" x14ac:dyDescent="0.2">
      <c r="A57" s="3" t="s">
        <v>164</v>
      </c>
      <c r="B57" s="4" t="s">
        <v>165</v>
      </c>
    </row>
    <row r="58" spans="1:2" ht="13.5" x14ac:dyDescent="0.2">
      <c r="A58" s="3" t="s">
        <v>166</v>
      </c>
      <c r="B58" s="4" t="s">
        <v>167</v>
      </c>
    </row>
    <row r="59" spans="1:2" ht="13.5" x14ac:dyDescent="0.2">
      <c r="A59" s="3" t="s">
        <v>168</v>
      </c>
      <c r="B59" s="4" t="s">
        <v>169</v>
      </c>
    </row>
    <row r="60" spans="1:2" ht="13.5" x14ac:dyDescent="0.2">
      <c r="A60" s="3" t="s">
        <v>170</v>
      </c>
      <c r="B60" s="4" t="s">
        <v>171</v>
      </c>
    </row>
    <row r="61" spans="1:2" ht="13.5" x14ac:dyDescent="0.2">
      <c r="A61" s="3" t="s">
        <v>172</v>
      </c>
      <c r="B61" s="4" t="s">
        <v>173</v>
      </c>
    </row>
    <row r="62" spans="1:2" ht="13.5" x14ac:dyDescent="0.2">
      <c r="A62" s="3">
        <v>10</v>
      </c>
      <c r="B62" s="4" t="s">
        <v>174</v>
      </c>
    </row>
    <row r="63" spans="1:2" ht="13.5" x14ac:dyDescent="0.2">
      <c r="A63" s="3">
        <v>11</v>
      </c>
      <c r="B63" s="4" t="s">
        <v>175</v>
      </c>
    </row>
    <row r="64" spans="1:2" ht="13.5" x14ac:dyDescent="0.2">
      <c r="A64" s="3">
        <v>12</v>
      </c>
      <c r="B64" s="4" t="s">
        <v>176</v>
      </c>
    </row>
    <row r="65" spans="1:2" ht="13.5" x14ac:dyDescent="0.2">
      <c r="A65" s="3">
        <v>13</v>
      </c>
      <c r="B65" s="4" t="s">
        <v>177</v>
      </c>
    </row>
    <row r="66" spans="1:2" ht="13.5" x14ac:dyDescent="0.2">
      <c r="A66" s="3">
        <v>14</v>
      </c>
      <c r="B66" s="4" t="s">
        <v>178</v>
      </c>
    </row>
    <row r="67" spans="1:2" ht="13.5" x14ac:dyDescent="0.2">
      <c r="A67" s="3">
        <v>15</v>
      </c>
      <c r="B67" s="4" t="s">
        <v>179</v>
      </c>
    </row>
    <row r="68" spans="1:2" ht="13.5" x14ac:dyDescent="0.2">
      <c r="A68" s="3">
        <v>16</v>
      </c>
      <c r="B68" s="4" t="s">
        <v>180</v>
      </c>
    </row>
    <row r="69" spans="1:2" ht="13.5" x14ac:dyDescent="0.2">
      <c r="A69" s="3">
        <v>17</v>
      </c>
      <c r="B69" s="4" t="s">
        <v>181</v>
      </c>
    </row>
    <row r="70" spans="1:2" ht="13.5" x14ac:dyDescent="0.2">
      <c r="A70" s="3">
        <v>18</v>
      </c>
      <c r="B70" s="4" t="s">
        <v>182</v>
      </c>
    </row>
    <row r="71" spans="1:2" ht="13.5" x14ac:dyDescent="0.2">
      <c r="A71" s="3">
        <v>19</v>
      </c>
      <c r="B71" s="4" t="s">
        <v>183</v>
      </c>
    </row>
    <row r="72" spans="1:2" ht="13.5" x14ac:dyDescent="0.2">
      <c r="A72" s="3">
        <v>20</v>
      </c>
      <c r="B72" s="4" t="s">
        <v>184</v>
      </c>
    </row>
    <row r="73" spans="1:2" ht="13.5" x14ac:dyDescent="0.2">
      <c r="A73" s="3">
        <v>21</v>
      </c>
      <c r="B73" s="4" t="s">
        <v>185</v>
      </c>
    </row>
    <row r="74" spans="1:2" ht="13.5" x14ac:dyDescent="0.2">
      <c r="A74" s="3">
        <v>22</v>
      </c>
      <c r="B74" s="4" t="s">
        <v>186</v>
      </c>
    </row>
    <row r="75" spans="1:2" ht="13.5" x14ac:dyDescent="0.2">
      <c r="A75" s="3">
        <v>23</v>
      </c>
      <c r="B75" s="4" t="s">
        <v>187</v>
      </c>
    </row>
    <row r="76" spans="1:2" ht="13.5" x14ac:dyDescent="0.2">
      <c r="A76" s="3">
        <v>24</v>
      </c>
      <c r="B76" s="4" t="s">
        <v>188</v>
      </c>
    </row>
    <row r="77" spans="1:2" ht="13.5" x14ac:dyDescent="0.2">
      <c r="A77" s="3">
        <v>25</v>
      </c>
      <c r="B77" s="4" t="s">
        <v>189</v>
      </c>
    </row>
    <row r="78" spans="1:2" ht="13.5" x14ac:dyDescent="0.2">
      <c r="A78" s="3">
        <v>26</v>
      </c>
      <c r="B78" s="4" t="s">
        <v>190</v>
      </c>
    </row>
    <row r="79" spans="1:2" ht="13.5" x14ac:dyDescent="0.2">
      <c r="A79" s="3">
        <v>27</v>
      </c>
      <c r="B79" s="4" t="s">
        <v>191</v>
      </c>
    </row>
    <row r="80" spans="1:2" ht="13.5" x14ac:dyDescent="0.2">
      <c r="A80" s="3">
        <v>28</v>
      </c>
      <c r="B80" s="4" t="s">
        <v>192</v>
      </c>
    </row>
    <row r="81" spans="1:2" ht="13.5" x14ac:dyDescent="0.2">
      <c r="A81" s="3">
        <v>29</v>
      </c>
      <c r="B81" s="4" t="s">
        <v>193</v>
      </c>
    </row>
    <row r="82" spans="1:2" ht="13.5" x14ac:dyDescent="0.2">
      <c r="A82" s="3">
        <v>30</v>
      </c>
      <c r="B82" s="4" t="s">
        <v>194</v>
      </c>
    </row>
    <row r="83" spans="1:2" ht="13.5" x14ac:dyDescent="0.2">
      <c r="A83" s="3">
        <v>31</v>
      </c>
      <c r="B83" s="4" t="s">
        <v>195</v>
      </c>
    </row>
    <row r="84" spans="1:2" ht="13.5" x14ac:dyDescent="0.2">
      <c r="A84" s="3">
        <v>32</v>
      </c>
      <c r="B84" s="4" t="s">
        <v>196</v>
      </c>
    </row>
    <row r="85" spans="1:2" ht="13.5" x14ac:dyDescent="0.2">
      <c r="A85" s="3">
        <v>33</v>
      </c>
      <c r="B85" s="4" t="s">
        <v>197</v>
      </c>
    </row>
    <row r="86" spans="1:2" ht="13.5" x14ac:dyDescent="0.2">
      <c r="A86" s="3">
        <v>34</v>
      </c>
      <c r="B86" s="4" t="s">
        <v>198</v>
      </c>
    </row>
    <row r="87" spans="1:2" ht="13.5" x14ac:dyDescent="0.2">
      <c r="A87" s="3">
        <v>35</v>
      </c>
      <c r="B87" s="4" t="s">
        <v>199</v>
      </c>
    </row>
    <row r="88" spans="1:2" ht="13.5" x14ac:dyDescent="0.2">
      <c r="A88" s="3">
        <v>36</v>
      </c>
      <c r="B88" s="4" t="s">
        <v>200</v>
      </c>
    </row>
    <row r="89" spans="1:2" ht="13.5" x14ac:dyDescent="0.2">
      <c r="A89" s="3">
        <v>37</v>
      </c>
      <c r="B89" s="4" t="s">
        <v>201</v>
      </c>
    </row>
    <row r="90" spans="1:2" ht="13.5" x14ac:dyDescent="0.2">
      <c r="A90" s="3">
        <v>38</v>
      </c>
      <c r="B90" s="4" t="s">
        <v>202</v>
      </c>
    </row>
    <row r="91" spans="1:2" ht="13.5" x14ac:dyDescent="0.2">
      <c r="A91" s="3">
        <v>39</v>
      </c>
      <c r="B91" s="4" t="s">
        <v>203</v>
      </c>
    </row>
    <row r="92" spans="1:2" ht="13.5" x14ac:dyDescent="0.2">
      <c r="A92" s="3">
        <v>40</v>
      </c>
      <c r="B92" s="4" t="s">
        <v>204</v>
      </c>
    </row>
    <row r="93" spans="1:2" ht="13.5" x14ac:dyDescent="0.2">
      <c r="A93" s="3">
        <v>41</v>
      </c>
      <c r="B93" s="4" t="s">
        <v>205</v>
      </c>
    </row>
    <row r="94" spans="1:2" ht="13.5" x14ac:dyDescent="0.2">
      <c r="A94" s="3">
        <v>42</v>
      </c>
      <c r="B94" s="4" t="s">
        <v>206</v>
      </c>
    </row>
    <row r="95" spans="1:2" ht="13.5" x14ac:dyDescent="0.2">
      <c r="A95" s="3">
        <v>43</v>
      </c>
      <c r="B95" s="4" t="s">
        <v>207</v>
      </c>
    </row>
    <row r="96" spans="1:2" ht="13.5" x14ac:dyDescent="0.2">
      <c r="A96" s="3">
        <v>44</v>
      </c>
      <c r="B96" s="4" t="s">
        <v>208</v>
      </c>
    </row>
    <row r="97" spans="1:2" ht="13.5" x14ac:dyDescent="0.2">
      <c r="A97" s="3">
        <v>45</v>
      </c>
      <c r="B97" s="4" t="s">
        <v>209</v>
      </c>
    </row>
    <row r="98" spans="1:2" ht="13.5" x14ac:dyDescent="0.2">
      <c r="A98" s="3">
        <v>46</v>
      </c>
      <c r="B98" s="4" t="s">
        <v>210</v>
      </c>
    </row>
    <row r="99" spans="1:2" ht="13.5" x14ac:dyDescent="0.2">
      <c r="A99" s="3">
        <v>47</v>
      </c>
      <c r="B99" s="4" t="s">
        <v>211</v>
      </c>
    </row>
    <row r="100" spans="1:2" ht="13.5" x14ac:dyDescent="0.2">
      <c r="A100" s="3">
        <v>48</v>
      </c>
      <c r="B100" s="4" t="s">
        <v>212</v>
      </c>
    </row>
    <row r="101" spans="1:2" ht="13.5" x14ac:dyDescent="0.2">
      <c r="A101" s="3">
        <v>49</v>
      </c>
      <c r="B101" s="4" t="s">
        <v>213</v>
      </c>
    </row>
    <row r="102" spans="1:2" ht="13.5" x14ac:dyDescent="0.2">
      <c r="A102" s="3">
        <v>50</v>
      </c>
      <c r="B102" s="4" t="s">
        <v>214</v>
      </c>
    </row>
    <row r="103" spans="1:2" ht="13.5" x14ac:dyDescent="0.2">
      <c r="A103" s="3">
        <v>51</v>
      </c>
      <c r="B103" s="4" t="s">
        <v>215</v>
      </c>
    </row>
    <row r="104" spans="1:2" ht="13.5" x14ac:dyDescent="0.2">
      <c r="A104" s="3">
        <v>52</v>
      </c>
      <c r="B104" s="4" t="s">
        <v>216</v>
      </c>
    </row>
    <row r="105" spans="1:2" ht="13.5" x14ac:dyDescent="0.2">
      <c r="A105" s="3">
        <v>53</v>
      </c>
      <c r="B105" s="4" t="s">
        <v>217</v>
      </c>
    </row>
    <row r="106" spans="1:2" ht="13.5" x14ac:dyDescent="0.2">
      <c r="A106" s="3">
        <v>54</v>
      </c>
      <c r="B106" s="4" t="s">
        <v>218</v>
      </c>
    </row>
    <row r="107" spans="1:2" ht="13.5" x14ac:dyDescent="0.2">
      <c r="A107" s="3">
        <v>55</v>
      </c>
      <c r="B107" s="4" t="s">
        <v>219</v>
      </c>
    </row>
    <row r="108" spans="1:2" ht="13.5" x14ac:dyDescent="0.2">
      <c r="A108" s="3">
        <v>56</v>
      </c>
      <c r="B108" s="4" t="s">
        <v>220</v>
      </c>
    </row>
    <row r="109" spans="1:2" ht="13.5" x14ac:dyDescent="0.2">
      <c r="A109" s="3">
        <v>57</v>
      </c>
      <c r="B109" s="4" t="s">
        <v>221</v>
      </c>
    </row>
    <row r="110" spans="1:2" ht="13.5" x14ac:dyDescent="0.2">
      <c r="A110" s="3">
        <v>58</v>
      </c>
      <c r="B110" s="4" t="s">
        <v>222</v>
      </c>
    </row>
    <row r="111" spans="1:2" ht="13.5" x14ac:dyDescent="0.2">
      <c r="A111" s="3">
        <v>59</v>
      </c>
      <c r="B111" s="4" t="s">
        <v>223</v>
      </c>
    </row>
    <row r="112" spans="1:2" ht="13.5" x14ac:dyDescent="0.2">
      <c r="A112" s="3">
        <v>60</v>
      </c>
      <c r="B112" s="4" t="s">
        <v>224</v>
      </c>
    </row>
    <row r="113" spans="1:2" ht="13.5" x14ac:dyDescent="0.2">
      <c r="A113" s="3">
        <v>61</v>
      </c>
      <c r="B113" s="4" t="s">
        <v>225</v>
      </c>
    </row>
    <row r="114" spans="1:2" ht="13.5" x14ac:dyDescent="0.2">
      <c r="A114" s="3">
        <v>62</v>
      </c>
      <c r="B114" s="4" t="s">
        <v>226</v>
      </c>
    </row>
    <row r="115" spans="1:2" ht="13.5" x14ac:dyDescent="0.2">
      <c r="A115" s="3">
        <v>63</v>
      </c>
      <c r="B115" s="4" t="s">
        <v>227</v>
      </c>
    </row>
    <row r="116" spans="1:2" ht="13.5" x14ac:dyDescent="0.2">
      <c r="A116" s="3">
        <v>64</v>
      </c>
      <c r="B116" s="4" t="s">
        <v>228</v>
      </c>
    </row>
    <row r="117" spans="1:2" ht="13.5" x14ac:dyDescent="0.2">
      <c r="A117" s="3">
        <v>65</v>
      </c>
      <c r="B117" s="4" t="s">
        <v>229</v>
      </c>
    </row>
    <row r="118" spans="1:2" ht="13.5" x14ac:dyDescent="0.2">
      <c r="A118" s="3">
        <v>66</v>
      </c>
      <c r="B118" s="4" t="s">
        <v>230</v>
      </c>
    </row>
    <row r="119" spans="1:2" ht="13.5" x14ac:dyDescent="0.2">
      <c r="A119" s="3">
        <v>67</v>
      </c>
      <c r="B119" s="4" t="s">
        <v>231</v>
      </c>
    </row>
    <row r="120" spans="1:2" ht="13.5" x14ac:dyDescent="0.2">
      <c r="A120" s="3">
        <v>68</v>
      </c>
      <c r="B120" s="4" t="s">
        <v>232</v>
      </c>
    </row>
    <row r="121" spans="1:2" ht="13.5" x14ac:dyDescent="0.2">
      <c r="A121" s="3">
        <v>69</v>
      </c>
      <c r="B121" s="4" t="s">
        <v>233</v>
      </c>
    </row>
    <row r="122" spans="1:2" ht="13.5" x14ac:dyDescent="0.2">
      <c r="A122" s="3">
        <v>70</v>
      </c>
      <c r="B122" s="4" t="s">
        <v>234</v>
      </c>
    </row>
    <row r="123" spans="1:2" ht="13.5" x14ac:dyDescent="0.2">
      <c r="A123" s="3">
        <v>71</v>
      </c>
      <c r="B123" s="4" t="s">
        <v>235</v>
      </c>
    </row>
    <row r="124" spans="1:2" ht="13.5" x14ac:dyDescent="0.2">
      <c r="A124" s="3">
        <v>72</v>
      </c>
      <c r="B124" s="4" t="s">
        <v>236</v>
      </c>
    </row>
    <row r="125" spans="1:2" ht="13.5" x14ac:dyDescent="0.2">
      <c r="A125" s="3">
        <v>73</v>
      </c>
      <c r="B125" s="4" t="s">
        <v>237</v>
      </c>
    </row>
    <row r="126" spans="1:2" ht="13.5" x14ac:dyDescent="0.2">
      <c r="A126" s="3">
        <v>74</v>
      </c>
      <c r="B126" s="4" t="s">
        <v>238</v>
      </c>
    </row>
    <row r="127" spans="1:2" ht="13.5" x14ac:dyDescent="0.2">
      <c r="A127" s="3">
        <v>75</v>
      </c>
      <c r="B127" s="4" t="s">
        <v>239</v>
      </c>
    </row>
    <row r="128" spans="1:2" ht="13.5" x14ac:dyDescent="0.2">
      <c r="A128" s="3">
        <v>76</v>
      </c>
      <c r="B128" s="4" t="s">
        <v>240</v>
      </c>
    </row>
    <row r="129" spans="1:2" ht="13.5" x14ac:dyDescent="0.2">
      <c r="A129" s="3">
        <v>77</v>
      </c>
      <c r="B129" s="4" t="s">
        <v>241</v>
      </c>
    </row>
    <row r="130" spans="1:2" ht="13.5" x14ac:dyDescent="0.2">
      <c r="A130" s="3">
        <v>78</v>
      </c>
      <c r="B130" s="4" t="s">
        <v>242</v>
      </c>
    </row>
    <row r="131" spans="1:2" ht="13.5" x14ac:dyDescent="0.2">
      <c r="A131" s="3">
        <v>79</v>
      </c>
      <c r="B131" s="4" t="s">
        <v>243</v>
      </c>
    </row>
    <row r="132" spans="1:2" ht="13.5" x14ac:dyDescent="0.2">
      <c r="A132" s="3">
        <v>80</v>
      </c>
      <c r="B132" s="4" t="s">
        <v>244</v>
      </c>
    </row>
    <row r="133" spans="1:2" ht="13.5" x14ac:dyDescent="0.2">
      <c r="A133" s="3">
        <v>81</v>
      </c>
      <c r="B133" s="4" t="s">
        <v>245</v>
      </c>
    </row>
    <row r="134" spans="1:2" ht="13.5" x14ac:dyDescent="0.2">
      <c r="A134" s="3">
        <v>82</v>
      </c>
      <c r="B134" s="4" t="s">
        <v>246</v>
      </c>
    </row>
    <row r="135" spans="1:2" ht="13.5" x14ac:dyDescent="0.2">
      <c r="A135" s="3">
        <v>83</v>
      </c>
      <c r="B135" s="4" t="s">
        <v>247</v>
      </c>
    </row>
    <row r="136" spans="1:2" ht="13.5" x14ac:dyDescent="0.2">
      <c r="A136" s="3">
        <v>84</v>
      </c>
      <c r="B136" s="4" t="s">
        <v>248</v>
      </c>
    </row>
    <row r="137" spans="1:2" ht="13.5" x14ac:dyDescent="0.2">
      <c r="A137" s="3">
        <v>85</v>
      </c>
      <c r="B137" s="4" t="s">
        <v>249</v>
      </c>
    </row>
    <row r="138" spans="1:2" ht="13.5" x14ac:dyDescent="0.2">
      <c r="A138" s="3">
        <v>86</v>
      </c>
      <c r="B138" s="4" t="s">
        <v>250</v>
      </c>
    </row>
    <row r="139" spans="1:2" ht="13.5" x14ac:dyDescent="0.2">
      <c r="A139" s="3">
        <v>87</v>
      </c>
      <c r="B139" s="4" t="s">
        <v>251</v>
      </c>
    </row>
    <row r="140" spans="1:2" ht="13.5" x14ac:dyDescent="0.2">
      <c r="A140" s="3">
        <v>88</v>
      </c>
      <c r="B140" s="4" t="s">
        <v>252</v>
      </c>
    </row>
    <row r="141" spans="1:2" ht="13.5" x14ac:dyDescent="0.2">
      <c r="A141" s="3">
        <v>89</v>
      </c>
      <c r="B141" s="4" t="s">
        <v>253</v>
      </c>
    </row>
    <row r="142" spans="1:2" ht="13.5" x14ac:dyDescent="0.2">
      <c r="A142" s="3">
        <v>90</v>
      </c>
      <c r="B142" s="4" t="s">
        <v>254</v>
      </c>
    </row>
    <row r="143" spans="1:2" ht="13.5" x14ac:dyDescent="0.2">
      <c r="A143" s="3">
        <v>91</v>
      </c>
      <c r="B143" s="4" t="s">
        <v>255</v>
      </c>
    </row>
    <row r="144" spans="1:2" ht="13.5" x14ac:dyDescent="0.2">
      <c r="A144" s="3">
        <v>92</v>
      </c>
      <c r="B144" s="4" t="s">
        <v>256</v>
      </c>
    </row>
    <row r="145" spans="1:2" ht="13.5" x14ac:dyDescent="0.2">
      <c r="A145" s="3">
        <v>93</v>
      </c>
      <c r="B145" s="4" t="s">
        <v>257</v>
      </c>
    </row>
    <row r="146" spans="1:2" ht="13.5" x14ac:dyDescent="0.2">
      <c r="A146" s="3">
        <v>94</v>
      </c>
      <c r="B146" s="4" t="s">
        <v>258</v>
      </c>
    </row>
    <row r="147" spans="1:2" ht="13.5" x14ac:dyDescent="0.2">
      <c r="A147" s="3">
        <v>95</v>
      </c>
      <c r="B147" s="4" t="s">
        <v>259</v>
      </c>
    </row>
    <row r="148" spans="1:2" ht="13.5" x14ac:dyDescent="0.2">
      <c r="A148" s="3">
        <v>96</v>
      </c>
      <c r="B148" s="4" t="s">
        <v>260</v>
      </c>
    </row>
    <row r="149" spans="1:2" ht="13.5" x14ac:dyDescent="0.2">
      <c r="A149" s="3">
        <v>97</v>
      </c>
      <c r="B149" s="4" t="s">
        <v>261</v>
      </c>
    </row>
    <row r="150" spans="1:2" ht="13.5" x14ac:dyDescent="0.2">
      <c r="A150" s="3">
        <v>98</v>
      </c>
      <c r="B150" s="4" t="s">
        <v>262</v>
      </c>
    </row>
    <row r="151" spans="1:2" ht="13.5" x14ac:dyDescent="0.2">
      <c r="A151" s="3">
        <v>99</v>
      </c>
      <c r="B151" s="4" t="s">
        <v>263</v>
      </c>
    </row>
    <row r="152" spans="1:2" ht="13.5" x14ac:dyDescent="0.2">
      <c r="A152" s="3" t="s">
        <v>264</v>
      </c>
      <c r="B152" s="4" t="s">
        <v>265</v>
      </c>
    </row>
  </sheetData>
  <dataConsolidate/>
  <phoneticPr fontId="1"/>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Mail</vt:lpstr>
      <vt:lpstr>Data</vt:lpstr>
      <vt:lpstr>キーワード</vt:lpstr>
    </vt:vector>
  </TitlesOfParts>
  <Company>Fuji Xerox Co.,Ltd.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2014-11-27T07:34:55Z</dcterms:created>
  <dcterms:modified xsi:type="dcterms:W3CDTF">2015-10-08T00:34:13Z</dcterms:modified>
</cp:coreProperties>
</file>